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325e4722a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a5f8dbb2d0f4ab3"/>
    <x:sheet xmlns:r="http://schemas.openxmlformats.org/officeDocument/2006/relationships" name="假设" sheetId="2" r:id="R493a71b23eec412c"/>
    <x:sheet xmlns:r="http://schemas.openxmlformats.org/officeDocument/2006/relationships" name="单位经济" sheetId="3" r:id="R78b9953afd2248d8"/>
    <x:sheet xmlns:r="http://schemas.openxmlformats.org/officeDocument/2006/relationships" name="保守现金流" sheetId="4" r:id="R3a6bee7fb8274f24"/>
    <x:sheet xmlns:r="http://schemas.openxmlformats.org/officeDocument/2006/relationships" name="基准现金流" sheetId="5" r:id="R5cd6821800eb4e8c"/>
    <x:sheet xmlns:r="http://schemas.openxmlformats.org/officeDocument/2006/relationships" name="扩张现金流" sheetId="6" r:id="Re19df359d5d54314"/>
    <x:sheet xmlns:r="http://schemas.openxmlformats.org/officeDocument/2006/relationships" name="品牌获客回收" sheetId="7" r:id="Rc45f2ec1a1584a6c"/>
    <x:sheet xmlns:r="http://schemas.openxmlformats.org/officeDocument/2006/relationships" name="敏感性" sheetId="8" r:id="Reded54f6a5a644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&quot;—&quot;"/>
    <x:numFmt numFmtId="201" formatCode="0.0%"/>
    <x:numFmt numFmtId="202" formatCode="0.00"/>
  </x:numFmts>
  <x:fonts count="10">
    <x:font>
      <x:sz val="11"/>
      <x:name val="Carlito"/>
    </x:font>
    <x:font>
      <x:sz val="11"/>
      <x:color rgb="FF172B3A"/>
      <x:name val="Arial"/>
    </x:font>
    <x:font>
      <x:sz val="17"/>
      <x:color rgb="FF172B3A"/>
      <x:name val="Arial"/>
    </x:font>
    <x:font>
      <x:b/>
      <x:sz val="11"/>
      <x:color rgb="FFFFFFFF"/>
      <x:name val="Arial"/>
    </x:font>
    <x:font>
      <x:sz val="11"/>
      <x:color rgb="FF2458C5"/>
      <x:name val="Arial"/>
    </x:font>
    <x:font>
      <x:sz val="11"/>
      <x:color rgb="FF8A4D10"/>
      <x:name val="Arial"/>
    </x:font>
    <x:font>
      <x:sz val="11"/>
      <x:color rgb="FF2458C5"/>
      <x:name val="Carlito"/>
    </x:font>
    <x:font>
      <x:sz val="11"/>
      <x:color rgb="FF16724A"/>
      <x:name val="Arial"/>
    </x:font>
    <x:font>
      <x:sz val="11"/>
      <x:color rgb="FFFFFFFF"/>
      <x:name val="Arial"/>
    </x:font>
    <x:font>
      <x:sz val="11"/>
      <x:color rgb="FF1672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D2A"/>
      </x:patternFill>
    </x:fill>
    <x:fill>
      <x:patternFill patternType="solid">
        <x:fgColor rgb="FFFFF3CE"/>
      </x:patternFill>
    </x:fill>
    <x:fill>
      <x:patternFill patternType="solid">
        <x:fgColor rgb="FFE9F0F2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0" fontId="4" fillId="0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0" fontId="5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3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1" fontId="1" fillId="0" borderId="0" xfId="0" applyNumberFormat="1" applyFont="1" applyFill="1" applyBorder="1"/>
    <x:xf numFmtId="200" fontId="4" fillId="2" borderId="0" xfId="0" applyNumberFormat="1" applyFont="1" applyFill="1" applyBorder="1"/>
    <x:xf numFmtId="200" fontId="8" fillId="2" borderId="0" xfId="0" applyNumberFormat="1" applyFont="1" applyFill="1" applyBorder="1"/>
    <x:xf numFmtId="202" fontId="7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4" borderId="0" xfId="0" applyNumberFormat="1" applyFont="1" applyFill="1" applyBorder="1"/>
    <x:xf numFmtId="200" fontId="7" fillId="4" borderId="0" xfId="0" applyNumberFormat="1" applyFont="1" applyFill="1" applyBorder="1"/>
    <x:xf numFmtId="200" fontId="1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7" fillId="0" borderId="0" xfId="0" applyNumberFormat="1" applyFont="1" applyFill="1" applyBorder="1"/>
    <x:xf numFmtId="201" fontId="3" fillId="2" borderId="0" xfId="0" applyNumberFormat="1" applyFont="1" applyFill="1" applyBorder="1"/>
    <x:xf numFmtId="0" fontId="9" fillId="0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92057bf134e18" /><Relationship Type="http://schemas.openxmlformats.org/officeDocument/2006/relationships/theme" Target="/xl/theme/theme1.xml" Id="R931bb59cab1c474e" /><Relationship Type="http://schemas.openxmlformats.org/officeDocument/2006/relationships/sharedStrings" Target="/xl/sharedStrings.xml" Id="R82eeab27f57d47db" /><Relationship Type="http://schemas.openxmlformats.org/officeDocument/2006/relationships/worksheet" Target="/xl/worksheets/sheet1.xml" Id="Raa5f8dbb2d0f4ab3" /><Relationship Type="http://schemas.openxmlformats.org/officeDocument/2006/relationships/worksheet" Target="/xl/worksheets/sheet2.xml" Id="R493a71b23eec412c" /><Relationship Type="http://schemas.openxmlformats.org/officeDocument/2006/relationships/worksheet" Target="/xl/worksheets/sheet3.xml" Id="R78b9953afd2248d8" /><Relationship Type="http://schemas.openxmlformats.org/officeDocument/2006/relationships/worksheet" Target="/xl/worksheets/sheet4.xml" Id="R3a6bee7fb8274f24" /><Relationship Type="http://schemas.openxmlformats.org/officeDocument/2006/relationships/worksheet" Target="/xl/worksheets/sheet5.xml" Id="R5cd6821800eb4e8c" /><Relationship Type="http://schemas.openxmlformats.org/officeDocument/2006/relationships/worksheet" Target="/xl/worksheets/sheet6.xml" Id="Re19df359d5d54314" /><Relationship Type="http://schemas.openxmlformats.org/officeDocument/2006/relationships/worksheet" Target="/xl/worksheets/sheet7.xml" Id="Rc45f2ec1a1584a6c" /><Relationship Type="http://schemas.openxmlformats.org/officeDocument/2006/relationships/worksheet" Target="/xl/worksheets/sheet8.xml" Id="Reded54f6a5a644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6dcb05587948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公司累计现金流（RM，融资前税前）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保守累计现金</c:v>
          </c:tx>
          <c:spPr>
            <a:ln xmlns:a="http://schemas.openxmlformats.org/drawingml/2006/main" w="19050">
              <a:solidFill>
                <a:srgbClr val="5C6258"/>
              </a:solidFill>
              <a:prstDash val="solid"/>
            </a:ln>
          </c:spPr>
          <c:marker>
            <c:symbol val="none"/>
          </c:marker>
          <c:cat>
            <c:strRef>
              <c:f>'总览'!$C$44:$C$79</c:f>
              <c:strCache>
                <c:ptCount val="0"/>
              </c:strCache>
            </c:strRef>
          </c:cat>
          <c:val>
            <c:numRef>
              <c:f>'总览'!$D$44:$D$79</c:f>
              <c:numCache>
                <c:formatCode>#,##0;(#,##0);"—"</c:formatCode>
                <c:ptCount val="0"/>
              </c:numCache>
            </c:numRef>
          </c:val>
          <c:smooth val="0"/>
        </c:ser>
        <c:ser>
          <c:idx val="1"/>
          <c:order val="1"/>
          <c:tx>
            <c:v>基准累计现金</c:v>
          </c:tx>
          <c:spPr>
            <a:ln xmlns:a="http://schemas.openxmlformats.org/drawingml/2006/main" w="19050">
              <a:solidFill>
                <a:srgbClr val="173D2A"/>
              </a:solidFill>
              <a:prstDash val="solid"/>
            </a:ln>
          </c:spPr>
          <c:marker>
            <c:symbol val="none"/>
          </c:marker>
          <c:cat>
            <c:strRef>
              <c:f>'总览'!$C$44:$C$79</c:f>
              <c:strCache>
                <c:ptCount val="0"/>
              </c:strCache>
            </c:strRef>
          </c:cat>
          <c:val>
            <c:numRef>
              <c:f>'总览'!$E$44:$E$79</c:f>
              <c:numCache>
                <c:formatCode>#,##0;(#,##0);"—"</c:formatCode>
                <c:ptCount val="0"/>
              </c:numCache>
            </c:numRef>
          </c:val>
          <c:smooth val="0"/>
        </c:ser>
        <c:ser>
          <c:idx val="2"/>
          <c:order val="2"/>
          <c:tx>
            <c:v>扩张累计现金</c:v>
          </c:tx>
          <c:spPr>
            <a:ln xmlns:a="http://schemas.openxmlformats.org/drawingml/2006/main" w="19050">
              <a:solidFill>
                <a:srgbClr val="171A14"/>
              </a:solidFill>
              <a:prstDash val="solid"/>
            </a:ln>
          </c:spPr>
          <c:marker>
            <c:symbol val="none"/>
          </c:marker>
          <c:cat>
            <c:strRef>
              <c:f>'总览'!$C$44:$C$79</c:f>
              <c:strCache>
                <c:ptCount val="0"/>
              </c:strCache>
            </c:strRef>
          </c:cat>
          <c:val>
            <c:numRef>
              <c:f>'总览'!$F$44:$F$79</c:f>
              <c:numCache>
                <c:formatCode>#,##0;(#,##0);"—"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6dcb055879480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4656037348d4b0f" /></Relationships>
</file>

<file path=xl/worksheets/sheet1.xml><?xml version="1.0" encoding="utf-8"?>
<x:worksheet xmlns:x="http://schemas.openxmlformats.org/spreadsheetml/2006/main">
  <x:sheetPr>
    <x:tabColor rgb="FF173D2A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25" hidden="0" customWidth="1"/>
    <x:col min="5" max="5" width="25" hidden="0" customWidth="1"/>
    <x:col min="6" max="6" width="25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</x:cols>
  <x:sheetData>
    <x:row r="1" ht="24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</x:row>
    <x:row r="2" ht="24" customHeight="1">
      <x:c r="A2" s="1"/>
      <x:c r="B2" s="1"/>
      <x:c r="C2" s="4" t="str">
        <x:v>Wringy｜总览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</x:row>
    <x:row r="3" ht="24" customHeight="1">
      <x:c r="A3" s="1"/>
      <x:c r="B3" s="1"/>
      <x:c r="C3" s="12" t="str">
        <x:v>情景草稿｜MYR｜新计量与反作弊开发未报价：零占位，非完整资金估计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</x:row>
    <x:row r="4" ht="24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</x:row>
    <x:row r="5" ht="29" customHeight="1">
      <x:c r="A5" s="1"/>
      <x:c r="B5" s="1"/>
      <x:c r="C5" s="7" t="str">
        <x:v>核心结果</x:v>
      </x:c>
      <x:c r="D5" s="8" t="str">
        <x:v>保守</x:v>
      </x:c>
      <x:c r="E5" s="8" t="str">
        <x:v>基准</x:v>
      </x:c>
      <x:c r="F5" s="8" t="str">
        <x:v>扩张</x:v>
      </x:c>
      <x:c r="G5" s="2"/>
      <x:c r="H5" s="2"/>
      <x:c r="I5" s="2"/>
      <x:c r="J5" s="2"/>
      <x:c r="K5" s="2"/>
      <x:c r="L5" s="2"/>
      <x:c r="M5" s="2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</x:row>
    <x:row r="6" ht="24" customHeight="1">
      <x:c r="A6" s="1"/>
      <x:c r="B6" s="1"/>
      <x:c r="C6" s="1" t="str">
        <x:v>公司累计回本（月序）</x:v>
      </x:c>
      <x:c r="D6" s="2" t="str">
        <x:f>IF(MIN('保守现金流'!D31:AM31)=999,"36个月内未回本",MIN('保守现金流'!D31:AM31))</x:f>
        <x:v>36个月内未回本</x:v>
      </x:c>
      <x:c r="E6" s="2" t="n">
        <x:f>IF(MIN('基准现金流'!D31:AM31)=999,"36个月内未回本",MIN('基准现金流'!D31:AM31))</x:f>
        <x:v>25</x:v>
      </x:c>
      <x:c r="F6" s="2" t="n">
        <x:f>IF(MIN('扩张现金流'!D31:AM31)=999,"36个月内未回本",MIN('扩张现金流'!D31:AM31))</x:f>
        <x:v>18</x:v>
      </x:c>
      <x:c r="G6" s="2"/>
      <x:c r="H6" s="2"/>
      <x:c r="I6" s="2"/>
      <x:c r="J6" s="2"/>
      <x:c r="K6" s="2"/>
      <x:c r="L6" s="2"/>
      <x:c r="M6" s="2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</x:row>
    <x:row r="7" ht="24" customHeight="1">
      <x:c r="A7" s="1"/>
      <x:c r="B7" s="1"/>
      <x:c r="C7" s="1" t="str">
        <x:v>首次单月经营不亏（月序）</x:v>
      </x:c>
      <x:c r="D7" s="2" t="n">
        <x:f>IF(MIN('保守现金流'!D32:AM32)=999,"36个月内未转正",MIN('保守现金流'!D32:AM32))</x:f>
        <x:v>18</x:v>
      </x:c>
      <x:c r="E7" s="2" t="n">
        <x:f>IF(MIN('基准现金流'!D32:AM32)=999,"36个月内未转正",MIN('基准现金流'!D32:AM32))</x:f>
        <x:v>10</x:v>
      </x:c>
      <x:c r="F7" s="2" t="n">
        <x:f>IF(MIN('扩张现金流'!D32:AM32)=999,"36个月内未转正",MIN('扩张现金流'!D32:AM32))</x:f>
        <x:v>8</x:v>
      </x:c>
      <x:c r="G7" s="2"/>
      <x:c r="H7" s="2"/>
      <x:c r="I7" s="2"/>
      <x:c r="J7" s="2"/>
      <x:c r="K7" s="2"/>
      <x:c r="L7" s="2"/>
      <x:c r="M7" s="2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</x:row>
    <x:row r="8" ht="24" customHeight="1">
      <x:c r="A8" s="1"/>
      <x:c r="B8" s="1"/>
      <x:c r="C8" s="1" t="str">
        <x:v>最大累计资金缺口／RM</x:v>
      </x:c>
      <x:c r="D8" s="2" t="n">
        <x:f>MAX(0,-MIN('保守现金流'!D29:AM29))</x:f>
        <x:v>383200</x:v>
      </x:c>
      <x:c r="E8" s="2" t="n">
        <x:f>MAX(0,-MIN('基准现金流'!D29:AM29))</x:f>
        <x:v>326850</x:v>
      </x:c>
      <x:c r="F8" s="2" t="n">
        <x:f>MAX(0,-MIN('扩张现金流'!D29:AM29))</x:f>
        <x:v>306950</x:v>
      </x:c>
      <x:c r="G8" s="2"/>
      <x:c r="H8" s="2"/>
      <x:c r="I8" s="2"/>
      <x:c r="J8" s="2"/>
      <x:c r="K8" s="2"/>
      <x:c r="L8" s="2"/>
      <x:c r="M8" s="2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</x:row>
    <x:row r="9" ht="24" customHeight="1">
      <x:c r="A9" s="1"/>
      <x:c r="B9" s="1"/>
      <x:c r="C9" s="1" t="str">
        <x:v>36个月累计现金流／RM</x:v>
      </x:c>
      <x:c r="D9" s="2" t="n">
        <x:f>'保守现金流'!AM29</x:f>
        <x:v>-325725</x:v>
      </x:c>
      <x:c r="E9" s="2" t="n">
        <x:f>'基准现金流'!AM29</x:f>
        <x:v>596400</x:v>
      </x:c>
      <x:c r="F9" s="2" t="n">
        <x:f>'扩张现金流'!AM29</x:f>
        <x:v>2256675</x:v>
      </x:c>
      <x:c r="G9" s="2"/>
      <x:c r="H9" s="2"/>
      <x:c r="I9" s="2"/>
      <x:c r="J9" s="2"/>
      <x:c r="K9" s="2"/>
      <x:c r="L9" s="2"/>
      <x:c r="M9" s="2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</x:row>
    <x:row r="10" ht="24" customHeight="1">
      <x:c r="A10" s="1"/>
      <x:c r="B10" s="1"/>
      <x:c r="C10" s="1" t="str">
        <x:v>36个月服务收入／RM</x:v>
      </x:c>
      <x:c r="D10" s="2" t="n">
        <x:f>SUM('保守现金流'!D14:AM14)</x:f>
        <x:v>1104000</x:v>
      </x:c>
      <x:c r="E10" s="2" t="n">
        <x:f>SUM('基准现金流'!D14:AM14)</x:f>
        <x:v>3144000</x:v>
      </x:c>
      <x:c r="F10" s="2" t="n">
        <x:f>SUM('扩张现金流'!D14:AM14)</x:f>
        <x:v>6843000</x:v>
      </x:c>
      <x:c r="G10" s="2"/>
      <x:c r="H10" s="2"/>
      <x:c r="I10" s="2"/>
      <x:c r="J10" s="2"/>
      <x:c r="K10" s="2"/>
      <x:c r="L10" s="2"/>
      <x:c r="M10" s="2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</x:row>
    <x:row r="11" ht="24" customHeight="1">
      <x:c r="A11" s="1"/>
      <x:c r="B11" s="1"/>
      <x:c r="C11" s="1" t="str">
        <x:v>M36每月活动数</x:v>
      </x:c>
      <x:c r="D11" s="2" t="n">
        <x:f>'保守现金流'!AM6</x:f>
        <x:v>30</x:v>
      </x:c>
      <x:c r="E11" s="2" t="n">
        <x:f>'基准现金流'!AM6</x:f>
        <x:v>100</x:v>
      </x:c>
      <x:c r="F11" s="2" t="n">
        <x:f>'扩张现金流'!AM6</x:f>
        <x:v>240</x:v>
      </x:c>
      <x:c r="G11" s="2"/>
      <x:c r="H11" s="2"/>
      <x:c r="I11" s="2"/>
      <x:c r="J11" s="2"/>
      <x:c r="K11" s="2"/>
      <x:c r="L11" s="2"/>
      <x:c r="M11" s="2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3"/>
      <x:c r="AG11" s="3"/>
      <x:c r="AH11" s="3"/>
      <x:c r="AI11" s="3"/>
      <x:c r="AJ11" s="3"/>
      <x:c r="AK11" s="3"/>
      <x:c r="AL11" s="3"/>
      <x:c r="AM11" s="3"/>
      <x:c r="AN11" s="3"/>
    </x:row>
    <x:row r="12" ht="24" customHeight="1">
      <x:c r="A12" s="1"/>
      <x:c r="B12" s="1"/>
      <x:c r="C12" s="1" t="str">
        <x:v>M36合格播放需求</x:v>
      </x:c>
      <x:c r="D12" s="2" t="n">
        <x:f>'保守现金流'!AM11</x:f>
        <x:v>60000000</x:v>
      </x:c>
      <x:c r="E12" s="2" t="n">
        <x:f>'基准现金流'!AM11</x:f>
        <x:v>200000000</x:v>
      </x:c>
      <x:c r="F12" s="2" t="n">
        <x:f>'扩张现金流'!AM11</x:f>
        <x:v>480000000</x:v>
      </x:c>
      <x:c r="G12" s="2"/>
      <x:c r="H12" s="2"/>
      <x:c r="I12" s="2"/>
      <x:c r="J12" s="2"/>
      <x:c r="K12" s="2"/>
      <x:c r="L12" s="2"/>
      <x:c r="M12" s="2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</x:row>
    <x:row r="13" ht="24" customHeight="1">
      <x:c r="A13" s="1"/>
      <x:c r="B13" s="1"/>
      <x:c r="C13" s="1" t="str">
        <x:v>36个月新增品牌CAC／RM</x:v>
      </x:c>
      <x:c r="D13" s="2" t="n">
        <x:f>SUM('保守现金流'!D10:AM10)</x:f>
        <x:v>45975.00000000002</x:v>
      </x:c>
      <x:c r="E13" s="2" t="n">
        <x:f>SUM('基准现金流'!D10:AM10)</x:f>
        <x:v>143850.00000000006</x:v>
      </x:c>
      <x:c r="F13" s="2" t="n">
        <x:f>SUM('扩张现金流'!D10:AM10)</x:f>
        <x:v>333075</x:v>
      </x:c>
      <x:c r="G13" s="2"/>
      <x:c r="H13" s="2"/>
      <x:c r="I13" s="2"/>
      <x:c r="J13" s="2"/>
      <x:c r="K13" s="2"/>
      <x:c r="L13" s="2"/>
      <x:c r="M13" s="2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</x:row>
    <x:row r="14" ht="24" customHeight="1">
      <x:c r="A14" s="1"/>
      <x:c r="B14" s="1"/>
      <x:c r="C14" s="1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</x:row>
    <x:row r="15" ht="24" customHeight="1">
      <x:c r="A15" s="1"/>
      <x:c r="B15" s="1"/>
      <x:c r="C15" s="1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</x:row>
    <x:row r="16" ht="29" customHeight="1">
      <x:c r="A16" s="1"/>
      <x:c r="B16" s="1"/>
      <x:c r="C16" s="7" t="str">
        <x:v>20场／月：费率与利润不同</x:v>
      </x:c>
      <x:c r="D16" s="8" t="str">
        <x:v>数值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</x:row>
    <x:row r="17" ht="24" customHeight="1">
      <x:c r="A17" s="1"/>
      <x:c r="B17" s="1"/>
      <x:c r="C17" s="1" t="str">
        <x:v>服务费率</x:v>
      </x:c>
      <x:c r="D17" s="17" t="n">
        <x:f>'单位经济'!D8</x:f>
        <x:v>0.15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</x:row>
    <x:row r="18" ht="24" customHeight="1">
      <x:c r="A18" s="1"/>
      <x:c r="B18" s="1"/>
      <x:c r="C18" s="1" t="str">
        <x:v>平台收入／品牌支出</x:v>
      </x:c>
      <x:c r="D18" s="17" t="n">
        <x:f>'单位经济'!D9</x:f>
        <x:v>0.13043478260869565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</x:row>
    <x:row r="19" ht="24" customHeight="1">
      <x:c r="A19" s="1"/>
      <x:c r="B19" s="1"/>
      <x:c r="C19" s="1" t="str">
        <x:v>毛利率（含固定履约）</x:v>
      </x:c>
      <x:c r="D19" s="17" t="n">
        <x:f>'单位经济'!D19</x:f>
        <x:v>0.5333333333333333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</x:row>
    <x:row r="20" ht="24" customHeight="1">
      <x:c r="A20" s="1"/>
      <x:c r="B20" s="1"/>
      <x:c r="C20" s="1" t="str">
        <x:v>贡献率（含每场佣金）</x:v>
      </x:c>
      <x:c r="D20" s="17" t="n">
        <x:f>'单位经济'!D14</x:f>
        <x:v>0.5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</x:row>
    <x:row r="21" ht="24" customHeight="1">
      <x:c r="A21" s="1"/>
      <x:c r="B21" s="1"/>
      <x:c r="C21" s="1" t="str">
        <x:v>经营结果（新增CAC前）</x:v>
      </x:c>
      <x:c r="D21" s="2" t="n">
        <x:f>'单位经济'!D22</x:f>
        <x:v>-2000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</x:row>
    <x:row r="22" ht="24" customHeight="1">
      <x:c r="A22" s="1"/>
      <x:c r="B22" s="1"/>
      <x:c r="C22" s="1" t="str">
        <x:v>盈亏平衡场数（新增CAC前）</x:v>
      </x:c>
      <x:c r="D22" s="2" t="n">
        <x:f>'单位经济'!D24</x:f>
        <x:v>23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</x:row>
    <x:row r="23" ht="24" customHeight="1">
      <x:c r="A23" s="1"/>
      <x:c r="B23" s="1"/>
      <x:c r="C23" s="1" t="str">
        <x:v>品牌CAC简单回收（月）</x:v>
      </x:c>
      <x:c r="D23" s="2" t="n">
        <x:f>'品牌获客回收'!D10</x:f>
        <x:v>1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</x:row>
    <x:row r="24" ht="24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</x:row>
    <x:row r="25" ht="24" customHeight="1">
      <x:c r="A25" s="1"/>
      <x:c r="B25" s="1"/>
      <x:c r="C25" s="12" t="str">
        <x:v>公司回本包含开发、运营、启动及独立品牌CAC；融资现金不算回本收入。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</x:row>
    <x:row r="26" ht="24" customHeight="1">
      <x:c r="A26" s="1"/>
      <x:c r="B26" s="1"/>
      <x:c r="C26" s="12" t="str">
        <x:v>单月经营结果是折旧摊销前规划指标；税后净利润未知。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</x:row>
    <x:row r="27" ht="24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</x:row>
    <x:row r="28" ht="24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</x:row>
    <x:row r="29" ht="24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</x:row>
    <x:row r="30" ht="24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</x:row>
    <x:row r="31" ht="24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</x:row>
    <x:row r="32" ht="24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</x:row>
    <x:row r="33" ht="24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</x:row>
    <x:row r="34" ht="24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</x:row>
    <x:row r="35" ht="24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</x:row>
    <x:row r="36" ht="24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</x:row>
    <x:row r="37" ht="24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</x:row>
    <x:row r="38" ht="24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</x:row>
    <x:row r="39" ht="24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</x:row>
    <x:row r="40" ht="24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</x:row>
    <x:row r="41" ht="24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</x:row>
    <x:row r="42" ht="24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</x:row>
    <x:row r="43" ht="29" customHeight="1">
      <x:c r="A43" s="1"/>
      <x:c r="B43" s="1"/>
      <x:c r="C43" s="7" t="str">
        <x:v>月序</x:v>
      </x:c>
      <x:c r="D43" s="8" t="str">
        <x:v>保守累计现金</x:v>
      </x:c>
      <x:c r="E43" s="8" t="str">
        <x:v>基准累计现金</x:v>
      </x:c>
      <x:c r="F43" s="8" t="str">
        <x:v>扩张累计现金</x:v>
      </x:c>
      <x:c r="G43" s="2"/>
      <x:c r="H43" s="2"/>
      <x:c r="I43" s="2"/>
      <x:c r="J43" s="2"/>
      <x:c r="K43" s="2"/>
      <x:c r="L43" s="2"/>
      <x:c r="M43" s="2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</x:row>
    <x:row r="44" ht="24" customHeight="1">
      <x:c r="A44" s="1"/>
      <x:c r="B44" s="1"/>
      <x:c r="C44" s="1" t="str">
        <x:v>M1</x:v>
      </x:c>
      <x:c r="D44" s="15" t="n">
        <x:f>'保守现金流'!D29</x:f>
        <x:v>-59437.5</x:v>
      </x:c>
      <x:c r="E44" s="15" t="n">
        <x:f>'基准现金流'!D29</x:f>
        <x:v>-59437.5</x:v>
      </x:c>
      <x:c r="F44" s="15" t="n">
        <x:f>'扩张现金流'!D29</x:f>
        <x:v>-59437.5</x:v>
      </x:c>
      <x:c r="G44" s="2"/>
      <x:c r="H44" s="2"/>
      <x:c r="I44" s="2"/>
      <x:c r="J44" s="2"/>
      <x:c r="K44" s="2"/>
      <x:c r="L44" s="2"/>
      <x:c r="M44" s="2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</x:row>
    <x:row r="45" ht="24" customHeight="1">
      <x:c r="A45" s="1"/>
      <x:c r="B45" s="1"/>
      <x:c r="C45" s="1" t="str">
        <x:v>M2</x:v>
      </x:c>
      <x:c r="D45" s="15" t="n">
        <x:f>'保守现金流'!E29</x:f>
        <x:v>-118875</x:v>
      </x:c>
      <x:c r="E45" s="15" t="n">
        <x:f>'基准现金流'!E29</x:f>
        <x:v>-118875</x:v>
      </x:c>
      <x:c r="F45" s="15" t="n">
        <x:f>'扩张现金流'!E29</x:f>
        <x:v>-118875</x:v>
      </x:c>
      <x:c r="G45" s="2"/>
      <x:c r="H45" s="2"/>
      <x:c r="I45" s="2"/>
      <x:c r="J45" s="2"/>
      <x:c r="K45" s="2"/>
      <x:c r="L45" s="2"/>
      <x:c r="M45" s="2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</x:row>
    <x:row r="46" ht="24" customHeight="1">
      <x:c r="A46" s="1"/>
      <x:c r="B46" s="1"/>
      <x:c r="C46" s="1" t="str">
        <x:v>M3</x:v>
      </x:c>
      <x:c r="D46" s="27" t="n">
        <x:f>'保守现金流'!F29</x:f>
        <x:v>-178312.5</x:v>
      </x:c>
      <x:c r="E46" s="27" t="n">
        <x:f>'基准现金流'!F29</x:f>
        <x:v>-178312.5</x:v>
      </x:c>
      <x:c r="F46" s="27" t="n">
        <x:f>'扩张现金流'!F29</x:f>
        <x:v>-178312.5</x:v>
      </x:c>
      <x:c r="G46" s="1"/>
      <x:c r="H46" s="1"/>
      <x:c r="I46" s="1"/>
      <x:c r="J46" s="1"/>
      <x:c r="K46" s="1"/>
      <x:c r="L46" s="1"/>
      <x:c r="M46" s="1"/>
    </x:row>
    <x:row r="47" ht="24" customHeight="1">
      <x:c r="A47" s="1"/>
      <x:c r="B47" s="1"/>
      <x:c r="C47" s="1" t="str">
        <x:v>M4</x:v>
      </x:c>
      <x:c r="D47" s="27" t="n">
        <x:f>'保守现金流'!G29</x:f>
        <x:v>-237750</x:v>
      </x:c>
      <x:c r="E47" s="27" t="n">
        <x:f>'基准现金流'!G29</x:f>
        <x:v>-237750</x:v>
      </x:c>
      <x:c r="F47" s="27" t="n">
        <x:f>'扩张现金流'!G29</x:f>
        <x:v>-237750</x:v>
      </x:c>
      <x:c r="G47" s="1"/>
      <x:c r="H47" s="1"/>
      <x:c r="I47" s="1"/>
      <x:c r="J47" s="1"/>
      <x:c r="K47" s="1"/>
      <x:c r="L47" s="1"/>
      <x:c r="M47" s="1"/>
    </x:row>
    <x:row r="48" ht="24" customHeight="1">
      <x:c r="A48" s="1"/>
      <x:c r="B48" s="1"/>
      <x:c r="C48" s="1" t="str">
        <x:v>M5</x:v>
      </x:c>
      <x:c r="D48" s="27" t="n">
        <x:f>'保守现金流'!H29</x:f>
        <x:v>-301750</x:v>
      </x:c>
      <x:c r="E48" s="27" t="n">
        <x:f>'基准现金流'!H29</x:f>
        <x:v>-298750</x:v>
      </x:c>
      <x:c r="F48" s="27" t="n">
        <x:f>'扩张现金流'!H29</x:f>
        <x:v>-295750</x:v>
      </x:c>
      <x:c r="G48" s="1"/>
      <x:c r="H48" s="1"/>
      <x:c r="I48" s="1"/>
      <x:c r="J48" s="1"/>
      <x:c r="K48" s="1"/>
      <x:c r="L48" s="1"/>
      <x:c r="M48" s="1"/>
    </x:row>
    <x:row r="49" ht="24" customHeight="1">
      <x:c r="A49" s="1"/>
      <x:c r="B49" s="1"/>
      <x:c r="C49" s="1" t="str">
        <x:v>M6</x:v>
      </x:c>
      <x:c r="D49" s="27" t="n">
        <x:f>'保守现金流'!I29</x:f>
        <x:v>-315900</x:v>
      </x:c>
      <x:c r="E49" s="27" t="n">
        <x:f>'基准现金流'!I29</x:f>
        <x:v>-310050</x:v>
      </x:c>
      <x:c r="F49" s="27" t="n">
        <x:f>'扩张现金流'!I29</x:f>
        <x:v>-304200</x:v>
      </x:c>
      <x:c r="G49" s="1"/>
      <x:c r="H49" s="1"/>
      <x:c r="I49" s="1"/>
      <x:c r="J49" s="1"/>
      <x:c r="K49" s="1"/>
      <x:c r="L49" s="1"/>
      <x:c r="M49" s="1"/>
    </x:row>
    <x:row r="50" ht="24" customHeight="1">
      <x:c r="A50" s="1"/>
      <x:c r="B50" s="1"/>
      <x:c r="C50" s="1" t="str">
        <x:v>M7</x:v>
      </x:c>
      <x:c r="D50" s="27" t="n">
        <x:f>'保守现金流'!J29</x:f>
        <x:v>-328625</x:v>
      </x:c>
      <x:c r="E50" s="27" t="n">
        <x:f>'基准现金流'!J29</x:f>
        <x:v>-318500</x:v>
      </x:c>
      <x:c r="F50" s="27" t="n">
        <x:f>'扩张现金流'!J29</x:f>
        <x:v>-306950</x:v>
      </x:c>
      <x:c r="G50" s="1"/>
      <x:c r="H50" s="1"/>
      <x:c r="I50" s="1"/>
      <x:c r="J50" s="1"/>
      <x:c r="K50" s="1"/>
      <x:c r="L50" s="1"/>
      <x:c r="M50" s="1"/>
    </x:row>
    <x:row r="51" ht="24" customHeight="1">
      <x:c r="A51" s="1"/>
      <x:c r="B51" s="1"/>
      <x:c r="C51" s="1" t="str">
        <x:v>M8</x:v>
      </x:c>
      <x:c r="D51" s="27" t="n">
        <x:f>'保守现金流'!K29</x:f>
        <x:v>-339925</x:v>
      </x:c>
      <x:c r="E51" s="27" t="n">
        <x:f>'基准现金流'!K29</x:f>
        <x:v>-324100</x:v>
      </x:c>
      <x:c r="F51" s="27" t="n">
        <x:f>'扩张现金流'!K29</x:f>
        <x:v>-304000</x:v>
      </x:c>
      <x:c r="G51" s="1"/>
      <x:c r="H51" s="1"/>
      <x:c r="I51" s="1"/>
      <x:c r="J51" s="1"/>
      <x:c r="K51" s="1"/>
      <x:c r="L51" s="1"/>
      <x:c r="M51" s="1"/>
    </x:row>
    <x:row r="52" ht="24" customHeight="1">
      <x:c r="A52" s="1"/>
      <x:c r="B52" s="1"/>
      <x:c r="C52" s="1" t="str">
        <x:v>M9</x:v>
      </x:c>
      <x:c r="D52" s="27" t="n">
        <x:f>'保守现金流'!L29</x:f>
        <x:v>-349800</x:v>
      </x:c>
      <x:c r="E52" s="27" t="n">
        <x:f>'基准现金流'!L29</x:f>
        <x:v>-326850</x:v>
      </x:c>
      <x:c r="F52" s="27" t="n">
        <x:f>'扩张现金流'!L29</x:f>
        <x:v>-295350</x:v>
      </x:c>
      <x:c r="G52" s="1"/>
      <x:c r="H52" s="1"/>
      <x:c r="I52" s="1"/>
      <x:c r="J52" s="1"/>
      <x:c r="K52" s="1"/>
      <x:c r="L52" s="1"/>
      <x:c r="M52" s="1"/>
    </x:row>
    <x:row r="53" ht="24" customHeight="1">
      <x:c r="A53" s="1"/>
      <x:c r="B53" s="1"/>
      <x:c r="C53" s="1" t="str">
        <x:v>M10</x:v>
      </x:c>
      <x:c r="D53" s="27" t="n">
        <x:f>'保守现金流'!M29</x:f>
        <x:v>-358250</x:v>
      </x:c>
      <x:c r="E53" s="27" t="n">
        <x:f>'基准现金流'!M29</x:f>
        <x:v>-326750</x:v>
      </x:c>
      <x:c r="F53" s="27" t="n">
        <x:f>'扩张现金流'!M29</x:f>
        <x:v>-281000</x:v>
      </x:c>
      <x:c r="G53" s="1"/>
      <x:c r="H53" s="1"/>
      <x:c r="I53" s="1"/>
      <x:c r="J53" s="1"/>
      <x:c r="K53" s="1"/>
      <x:c r="L53" s="1"/>
      <x:c r="M53" s="1"/>
    </x:row>
    <x:row r="54" ht="24" customHeight="1">
      <x:c r="A54" s="1"/>
      <x:c r="B54" s="1"/>
      <x:c r="C54" s="1" t="str">
        <x:v>M11</x:v>
      </x:c>
      <x:c r="D54" s="27" t="n">
        <x:f>'保守现金流'!N29</x:f>
        <x:v>-365275</x:v>
      </x:c>
      <x:c r="E54" s="27" t="n">
        <x:f>'基准现金流'!N29</x:f>
        <x:v>-323800</x:v>
      </x:c>
      <x:c r="F54" s="27" t="n">
        <x:f>'扩张现金流'!N29</x:f>
        <x:v>-260950</x:v>
      </x:c>
      <x:c r="G54" s="1"/>
      <x:c r="H54" s="1"/>
      <x:c r="I54" s="1"/>
      <x:c r="J54" s="1"/>
      <x:c r="K54" s="1"/>
      <x:c r="L54" s="1"/>
      <x:c r="M54" s="1"/>
    </x:row>
    <x:row r="55" ht="24" customHeight="1">
      <x:c r="A55" s="1"/>
      <x:c r="B55" s="1"/>
      <x:c r="C55" s="1" t="str">
        <x:v>M12</x:v>
      </x:c>
      <x:c r="D55" s="27" t="n">
        <x:f>'保守现金流'!O29</x:f>
        <x:v>-370875</x:v>
      </x:c>
      <x:c r="E55" s="27" t="n">
        <x:f>'基准现金流'!O29</x:f>
        <x:v>-318000</x:v>
      </x:c>
      <x:c r="F55" s="27" t="n">
        <x:f>'扩张现金流'!O29</x:f>
        <x:v>-235200</x:v>
      </x:c>
      <x:c r="G55" s="1"/>
      <x:c r="H55" s="1"/>
      <x:c r="I55" s="1"/>
      <x:c r="J55" s="1"/>
      <x:c r="K55" s="1"/>
      <x:c r="L55" s="1"/>
      <x:c r="M55" s="1"/>
    </x:row>
    <x:row r="56" ht="24" customHeight="1">
      <x:c r="A56" s="1"/>
      <x:c r="B56" s="1"/>
      <x:c r="C56" s="1" t="str">
        <x:v>M13</x:v>
      </x:c>
      <x:c r="D56" s="27" t="n">
        <x:f>'保守现金流'!P29</x:f>
        <x:v>-375050</x:v>
      </x:c>
      <x:c r="E56" s="27" t="n">
        <x:f>'基准现金流'!P29</x:f>
        <x:v>-309350</x:v>
      </x:c>
      <x:c r="F56" s="27" t="n">
        <x:f>'扩张现金流'!P29</x:f>
        <x:v>-203750</x:v>
      </x:c>
      <x:c r="G56" s="1"/>
      <x:c r="H56" s="1"/>
      <x:c r="I56" s="1"/>
      <x:c r="J56" s="1"/>
      <x:c r="K56" s="1"/>
      <x:c r="L56" s="1"/>
      <x:c r="M56" s="1"/>
    </x:row>
    <x:row r="57" ht="24" customHeight="1">
      <x:c r="A57" s="1"/>
      <x:c r="B57" s="1"/>
      <x:c r="C57" s="1" t="str">
        <x:v>M14</x:v>
      </x:c>
      <x:c r="D57" s="27" t="n">
        <x:f>'保守现金流'!Q29</x:f>
        <x:v>-377800</x:v>
      </x:c>
      <x:c r="E57" s="27" t="n">
        <x:f>'基准现金流'!Q29</x:f>
        <x:v>-297850</x:v>
      </x:c>
      <x:c r="F57" s="27" t="n">
        <x:f>'扩张现金流'!Q29</x:f>
        <x:v>-166600</x:v>
      </x:c>
      <x:c r="G57" s="1"/>
      <x:c r="H57" s="1"/>
      <x:c r="I57" s="1"/>
      <x:c r="J57" s="1"/>
      <x:c r="K57" s="1"/>
      <x:c r="L57" s="1"/>
      <x:c r="M57" s="1"/>
    </x:row>
    <x:row r="58" ht="24" customHeight="1">
      <x:c r="A58" s="1"/>
      <x:c r="B58" s="1"/>
      <x:c r="C58" s="1" t="str">
        <x:v>M15</x:v>
      </x:c>
      <x:c r="D58" s="27" t="n">
        <x:f>'保守现金流'!R29</x:f>
        <x:v>-380550</x:v>
      </x:c>
      <x:c r="E58" s="27" t="n">
        <x:f>'基准现金流'!R29</x:f>
        <x:v>-283500</x:v>
      </x:c>
      <x:c r="F58" s="27" t="n">
        <x:f>'扩张现金流'!R29</x:f>
        <x:v>-123750</x:v>
      </x:c>
      <x:c r="G58" s="1"/>
      <x:c r="H58" s="1"/>
      <x:c r="I58" s="1"/>
      <x:c r="J58" s="1"/>
      <x:c r="K58" s="1"/>
      <x:c r="L58" s="1"/>
      <x:c r="M58" s="1"/>
    </x:row>
    <x:row r="59" ht="24" customHeight="1">
      <x:c r="A59" s="1"/>
      <x:c r="B59" s="1"/>
      <x:c r="C59" s="1" t="str">
        <x:v>M16</x:v>
      </x:c>
      <x:c r="D59" s="27" t="n">
        <x:f>'保守现金流'!S29</x:f>
        <x:v>-381875</x:v>
      </x:c>
      <x:c r="E59" s="27" t="n">
        <x:f>'基准现金流'!S29</x:f>
        <x:v>-266300</x:v>
      </x:c>
      <x:c r="F59" s="27" t="n">
        <x:f>'扩张现金流'!S29</x:f>
        <x:v>-75200</x:v>
      </x:c>
      <x:c r="G59" s="1"/>
      <x:c r="H59" s="1"/>
      <x:c r="I59" s="1"/>
      <x:c r="J59" s="1"/>
      <x:c r="K59" s="1"/>
      <x:c r="L59" s="1"/>
      <x:c r="M59" s="1"/>
    </x:row>
    <x:row r="60" ht="24" customHeight="1">
      <x:c r="A60" s="1"/>
      <x:c r="B60" s="1"/>
      <x:c r="C60" s="1" t="str">
        <x:v>M17</x:v>
      </x:c>
      <x:c r="D60" s="27" t="n">
        <x:f>'保守现金流'!T29</x:f>
        <x:v>-383200</x:v>
      </x:c>
      <x:c r="E60" s="27" t="n">
        <x:f>'基准现金流'!T29</x:f>
        <x:v>-246250</x:v>
      </x:c>
      <x:c r="F60" s="27" t="n">
        <x:f>'扩张现金流'!T29</x:f>
        <x:v>-20950</x:v>
      </x:c>
      <x:c r="G60" s="1"/>
      <x:c r="H60" s="1"/>
      <x:c r="I60" s="1"/>
      <x:c r="J60" s="1"/>
      <x:c r="K60" s="1"/>
      <x:c r="L60" s="1"/>
      <x:c r="M60" s="1"/>
    </x:row>
    <x:row r="61" ht="24" customHeight="1">
      <x:c r="A61" s="1"/>
      <x:c r="B61" s="1"/>
      <x:c r="C61" s="1" t="str">
        <x:v>M18</x:v>
      </x:c>
      <x:c r="D61" s="27" t="n">
        <x:f>'保守现金流'!U29</x:f>
        <x:v>-383100</x:v>
      </x:c>
      <x:c r="E61" s="27" t="n">
        <x:f>'基准现金流'!U29</x:f>
        <x:v>-223350</x:v>
      </x:c>
      <x:c r="F61" s="27" t="n">
        <x:f>'扩张现金流'!U29</x:f>
        <x:v>40425</x:v>
      </x:c>
      <x:c r="G61" s="1"/>
      <x:c r="H61" s="1"/>
      <x:c r="I61" s="1"/>
      <x:c r="J61" s="1"/>
      <x:c r="K61" s="1"/>
      <x:c r="L61" s="1"/>
      <x:c r="M61" s="1"/>
    </x:row>
    <x:row r="62" ht="24" customHeight="1">
      <x:c r="A62" s="1"/>
      <x:c r="B62" s="1"/>
      <x:c r="C62" s="1" t="str">
        <x:v>M19</x:v>
      </x:c>
      <x:c r="D62" s="27" t="n">
        <x:f>'保守现金流'!V29</x:f>
        <x:v>-383000</x:v>
      </x:c>
      <x:c r="E62" s="27" t="n">
        <x:f>'基准现金流'!V29</x:f>
        <x:v>-197600</x:v>
      </x:c>
      <x:c r="F62" s="27" t="n">
        <x:f>'扩张现金流'!V29</x:f>
        <x:v>108925</x:v>
      </x:c>
      <x:c r="G62" s="1"/>
      <x:c r="H62" s="1"/>
      <x:c r="I62" s="1"/>
      <x:c r="J62" s="1"/>
      <x:c r="K62" s="1"/>
      <x:c r="L62" s="1"/>
      <x:c r="M62" s="1"/>
    </x:row>
    <x:row r="63" ht="24" customHeight="1">
      <x:c r="A63" s="1"/>
      <x:c r="B63" s="1"/>
      <x:c r="C63" s="1" t="str">
        <x:v>M20</x:v>
      </x:c>
      <x:c r="D63" s="27" t="n">
        <x:f>'保守现金流'!W29</x:f>
        <x:v>-382900</x:v>
      </x:c>
      <x:c r="E63" s="27" t="n">
        <x:f>'基准现金流'!W29</x:f>
        <x:v>-169000</x:v>
      </x:c>
      <x:c r="F63" s="27" t="n">
        <x:f>'扩张现金流'!W29</x:f>
        <x:v>184550</x:v>
      </x:c>
      <x:c r="G63" s="1"/>
      <x:c r="H63" s="1"/>
      <x:c r="I63" s="1"/>
      <x:c r="J63" s="1"/>
      <x:c r="K63" s="1"/>
      <x:c r="L63" s="1"/>
      <x:c r="M63" s="1"/>
    </x:row>
    <x:row r="64" ht="24" customHeight="1">
      <x:c r="A64" s="1"/>
      <x:c r="B64" s="1"/>
      <x:c r="C64" s="1" t="str">
        <x:v>M21</x:v>
      </x:c>
      <x:c r="D64" s="27" t="n">
        <x:f>'保守现金流'!X29</x:f>
        <x:v>-381375</x:v>
      </x:c>
      <x:c r="E64" s="27" t="n">
        <x:f>'基准现金流'!X29</x:f>
        <x:v>-137550</x:v>
      </x:c>
      <x:c r="F64" s="27" t="n">
        <x:f>'扩张现金流'!X29</x:f>
        <x:v>267300</x:v>
      </x:c>
      <x:c r="G64" s="1"/>
      <x:c r="H64" s="1"/>
      <x:c r="I64" s="1"/>
      <x:c r="J64" s="1"/>
      <x:c r="K64" s="1"/>
      <x:c r="L64" s="1"/>
      <x:c r="M64" s="1"/>
    </x:row>
    <x:row r="65" ht="24" customHeight="1">
      <x:c r="A65" s="1"/>
      <x:c r="B65" s="1"/>
      <x:c r="C65" s="1" t="str">
        <x:v>M22</x:v>
      </x:c>
      <x:c r="D65" s="27" t="n">
        <x:f>'保守现金流'!Y29</x:f>
        <x:v>-379850</x:v>
      </x:c>
      <x:c r="E65" s="27" t="n">
        <x:f>'基准现金流'!Y29</x:f>
        <x:v>-103250</x:v>
      </x:c>
      <x:c r="F65" s="27" t="n">
        <x:f>'扩张现金流'!Y29</x:f>
        <x:v>357175</x:v>
      </x:c>
      <x:c r="G65" s="1"/>
      <x:c r="H65" s="1"/>
      <x:c r="I65" s="1"/>
      <x:c r="J65" s="1"/>
      <x:c r="K65" s="1"/>
      <x:c r="L65" s="1"/>
      <x:c r="M65" s="1"/>
    </x:row>
    <x:row r="66">
      <x:c r="C66" t="str">
        <x:v>M23</x:v>
      </x:c>
      <x:c r="D66" s="29" t="n">
        <x:f>'保守现金流'!Z29</x:f>
        <x:v>-378325</x:v>
      </x:c>
      <x:c r="E66" s="29" t="n">
        <x:f>'基准现金流'!Z29</x:f>
        <x:v>-66100</x:v>
      </x:c>
      <x:c r="F66" s="29" t="n">
        <x:f>'扩张现金流'!Z29</x:f>
        <x:v>454175</x:v>
      </x:c>
    </x:row>
    <x:row r="67">
      <x:c r="C67" t="str">
        <x:v>M24</x:v>
      </x:c>
      <x:c r="D67" s="29" t="n">
        <x:f>'保守现金流'!AA29</x:f>
        <x:v>-375375</x:v>
      </x:c>
      <x:c r="E67" s="29" t="n">
        <x:f>'基准现金流'!AA29</x:f>
        <x:v>-26100</x:v>
      </x:c>
      <x:c r="F67" s="29" t="n">
        <x:f>'扩张现金流'!AA29</x:f>
        <x:v>558300</x:v>
      </x:c>
    </x:row>
    <x:row r="68">
      <x:c r="C68" t="str">
        <x:v>M25</x:v>
      </x:c>
      <x:c r="D68" s="29" t="n">
        <x:f>'保守现金流'!AB29</x:f>
        <x:v>-372425</x:v>
      </x:c>
      <x:c r="E68" s="29" t="n">
        <x:f>'基准现金流'!AB29</x:f>
        <x:v>16750</x:v>
      </x:c>
      <x:c r="F68" s="29" t="n">
        <x:f>'扩张现金流'!AB29</x:f>
        <x:v>669550</x:v>
      </x:c>
    </x:row>
    <x:row r="69">
      <x:c r="C69" t="str">
        <x:v>M26</x:v>
      </x:c>
      <x:c r="D69" s="29" t="n">
        <x:f>'保守现金流'!AC29</x:f>
        <x:v>-369475</x:v>
      </x:c>
      <x:c r="E69" s="29" t="n">
        <x:f>'基准现金流'!AC29</x:f>
        <x:v>62450</x:v>
      </x:c>
      <x:c r="F69" s="29" t="n">
        <x:f>'扩张现金流'!AC29</x:f>
        <x:v>787925</x:v>
      </x:c>
    </x:row>
    <x:row r="70">
      <x:c r="C70" t="str">
        <x:v>M27</x:v>
      </x:c>
      <x:c r="D70" s="29" t="n">
        <x:f>'保守现金流'!AD29</x:f>
        <x:v>-365100</x:v>
      </x:c>
      <x:c r="E70" s="29" t="n">
        <x:f>'基准现金流'!AD29</x:f>
        <x:v>111000</x:v>
      </x:c>
      <x:c r="F70" s="29" t="n">
        <x:f>'扩张现金流'!AD29</x:f>
        <x:v>913425</x:v>
      </x:c>
    </x:row>
    <x:row r="71">
      <x:c r="C71" t="str">
        <x:v>M28</x:v>
      </x:c>
      <x:c r="D71" s="29" t="n">
        <x:f>'保守现金流'!AE29</x:f>
        <x:v>-360725</x:v>
      </x:c>
      <x:c r="E71" s="29" t="n">
        <x:f>'基准现金流'!AE29</x:f>
        <x:v>162400</x:v>
      </x:c>
      <x:c r="F71" s="29" t="n">
        <x:f>'扩张现金流'!AE29</x:f>
        <x:v>1046050</x:v>
      </x:c>
    </x:row>
    <x:row r="72">
      <x:c r="C72" t="str">
        <x:v>M29</x:v>
      </x:c>
      <x:c r="D72" s="29" t="n">
        <x:f>'保守现金流'!AF29</x:f>
        <x:v>-356350</x:v>
      </x:c>
      <x:c r="E72" s="29" t="n">
        <x:f>'基准现金流'!AF29</x:f>
        <x:v>216650</x:v>
      </x:c>
      <x:c r="F72" s="29" t="n">
        <x:f>'扩张现金流'!AF29</x:f>
        <x:v>1185800</x:v>
      </x:c>
    </x:row>
    <x:row r="73">
      <x:c r="C73" t="str">
        <x:v>M30</x:v>
      </x:c>
      <x:c r="D73" s="29" t="n">
        <x:f>'保守现金流'!AG29</x:f>
        <x:v>-351975</x:v>
      </x:c>
      <x:c r="E73" s="29" t="n">
        <x:f>'基准现金流'!AG29</x:f>
        <x:v>270900</x:v>
      </x:c>
      <x:c r="F73" s="29" t="n">
        <x:f>'扩张现金流'!AG29</x:f>
        <x:v>1332675</x:v>
      </x:c>
    </x:row>
    <x:row r="74">
      <x:c r="C74" t="str">
        <x:v>M31</x:v>
      </x:c>
      <x:c r="D74" s="29" t="n">
        <x:f>'保守现金流'!AH29</x:f>
        <x:v>-347600</x:v>
      </x:c>
      <x:c r="E74" s="29" t="n">
        <x:f>'基准现金流'!AH29</x:f>
        <x:v>325150</x:v>
      </x:c>
      <x:c r="F74" s="29" t="n">
        <x:f>'扩张现金流'!AH29</x:f>
        <x:v>1486675</x:v>
      </x:c>
    </x:row>
    <x:row r="75">
      <x:c r="C75" t="str">
        <x:v>M32</x:v>
      </x:c>
      <x:c r="D75" s="29" t="n">
        <x:f>'保守现金流'!AI29</x:f>
        <x:v>-343225</x:v>
      </x:c>
      <x:c r="E75" s="29" t="n">
        <x:f>'基准现金流'!AI29</x:f>
        <x:v>379400</x:v>
      </x:c>
      <x:c r="F75" s="29" t="n">
        <x:f>'扩张现金流'!AI29</x:f>
        <x:v>1640675</x:v>
      </x:c>
    </x:row>
    <x:row r="76">
      <x:c r="C76" t="str">
        <x:v>M33</x:v>
      </x:c>
      <x:c r="D76" s="29" t="n">
        <x:f>'保守现金流'!AJ29</x:f>
        <x:v>-338850</x:v>
      </x:c>
      <x:c r="E76" s="29" t="n">
        <x:f>'基准现金流'!AJ29</x:f>
        <x:v>433650</x:v>
      </x:c>
      <x:c r="F76" s="29" t="n">
        <x:f>'扩张现金流'!AJ29</x:f>
        <x:v>1794675</x:v>
      </x:c>
    </x:row>
    <x:row r="77">
      <x:c r="C77" t="str">
        <x:v>M34</x:v>
      </x:c>
      <x:c r="D77" s="29" t="n">
        <x:f>'保守现金流'!AK29</x:f>
        <x:v>-334475</x:v>
      </x:c>
      <x:c r="E77" s="29" t="n">
        <x:f>'基准现金流'!AK29</x:f>
        <x:v>487900</x:v>
      </x:c>
      <x:c r="F77" s="29" t="n">
        <x:f>'扩张现金流'!AK29</x:f>
        <x:v>1948675</x:v>
      </x:c>
    </x:row>
    <x:row r="78">
      <x:c r="C78" t="str">
        <x:v>M35</x:v>
      </x:c>
      <x:c r="D78" s="29" t="n">
        <x:f>'保守现金流'!AL29</x:f>
        <x:v>-330100</x:v>
      </x:c>
      <x:c r="E78" s="29" t="n">
        <x:f>'基准现金流'!AL29</x:f>
        <x:v>542150</x:v>
      </x:c>
      <x:c r="F78" s="29" t="n">
        <x:f>'扩张现金流'!AL29</x:f>
        <x:v>2102675</x:v>
      </x:c>
    </x:row>
    <x:row r="79">
      <x:c r="C79" t="str">
        <x:v>M36</x:v>
      </x:c>
      <x:c r="D79" s="29" t="n">
        <x:f>'保守现金流'!AM29</x:f>
        <x:v>-325725</x:v>
      </x:c>
      <x:c r="E79" s="29" t="n">
        <x:f>'基准现金流'!AM29</x:f>
        <x:v>596400</x:v>
      </x:c>
      <x:c r="F79" s="29" t="n">
        <x:f>'扩张现金流'!AM29</x:f>
        <x:v>2256675</x:v>
      </x:c>
    </x:row>
  </x:sheetData>
  <x:pageMargins left="0.7" right="0.7" top="0.75" bottom="0.75" header="0.3" footer="0.3"/>
  <x:drawing xmlns:r="http://schemas.openxmlformats.org/officeDocument/2006/relationships" r:id="R04656037348d4b0f"/>
</x:worksheet>
</file>

<file path=xl/worksheets/sheet2.xml><?xml version="1.0" encoding="utf-8"?>
<x:worksheet xmlns:x="http://schemas.openxmlformats.org/spreadsheetml/2006/main">
  <x:sheetPr>
    <x:tabColor rgb="FFB18A32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7" hidden="0" customWidth="1"/>
    <x:col min="5" max="5" width="8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</x:cols>
  <x:sheetData>
    <x:row r="1" ht="24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</x:row>
    <x:row r="2" ht="24" customHeight="1">
      <x:c r="A2" s="1"/>
      <x:c r="B2" s="1"/>
      <x:c r="C2" s="4" t="str">
        <x:v>Wringy｜假设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</x:row>
    <x:row r="3" ht="24" customHeight="1">
      <x:c r="A3" s="1"/>
      <x:c r="B3" s="1"/>
      <x:c r="C3" s="1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</x:row>
    <x:row r="4" ht="24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</x:row>
    <x:row r="5" ht="29" customHeight="1">
      <x:c r="A5" s="1"/>
      <x:c r="B5" s="1"/>
      <x:c r="C5" s="7" t="str">
        <x:v>共同输入</x:v>
      </x:c>
      <x:c r="D5" s="8" t="str">
        <x:v>数值</x:v>
      </x:c>
      <x:c r="E5" s="8" t="str">
        <x:v>说明</x:v>
      </x:c>
      <x:c r="F5" s="2"/>
      <x:c r="G5" s="2"/>
      <x:c r="H5" s="2"/>
      <x:c r="I5" s="2"/>
      <x:c r="J5" s="2"/>
      <x:c r="K5" s="2"/>
      <x:c r="L5" s="2"/>
      <x:c r="M5" s="2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</x:row>
    <x:row r="6" ht="24" customHeight="1">
      <x:c r="A6" s="1"/>
      <x:c r="B6" s="1"/>
      <x:c r="C6" s="1" t="str">
        <x:v>每场已确认奖励</x:v>
      </x:c>
      <x:c r="D6" s="10" t="n">
        <x:v>10000</x:v>
      </x:c>
      <x:c r="E6" s="2" t="str">
        <x:v>RM；旧商业算例，非客户订单</x:v>
      </x:c>
      <x:c r="F6" s="2"/>
      <x:c r="G6" s="2"/>
      <x:c r="H6" s="2"/>
      <x:c r="I6" s="2"/>
      <x:c r="J6" s="2"/>
      <x:c r="K6" s="2"/>
      <x:c r="L6" s="2"/>
      <x:c r="M6" s="2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</x:row>
    <x:row r="7" ht="24" customHeight="1">
      <x:c r="A7" s="1"/>
      <x:c r="B7" s="1"/>
      <x:c r="C7" s="1" t="str">
        <x:v>奖励外加服务费率</x:v>
      </x:c>
      <x:c r="D7" s="11" t="n">
        <x:v>0.15</x:v>
      </x:c>
      <x:c r="E7" s="2" t="str">
        <x:v>旧商业算例，非已批准定价</x:v>
      </x:c>
      <x:c r="F7" s="2"/>
      <x:c r="G7" s="2"/>
      <x:c r="H7" s="2"/>
      <x:c r="I7" s="2"/>
      <x:c r="J7" s="2"/>
      <x:c r="K7" s="2"/>
      <x:c r="L7" s="2"/>
      <x:c r="M7" s="2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</x:row>
    <x:row r="8" ht="24" customHeight="1">
      <x:c r="A8" s="1"/>
      <x:c r="B8" s="1"/>
      <x:c r="C8" s="1" t="str">
        <x:v>每千次合格播放奖励</x:v>
      </x:c>
      <x:c r="D8" s="10" t="n">
        <x:v>5</x:v>
      </x:c>
      <x:c r="E8" s="2" t="str">
        <x:v>RM；旧商业算例</x:v>
      </x:c>
      <x:c r="F8" s="2"/>
      <x:c r="G8" s="2"/>
      <x:c r="H8" s="2"/>
      <x:c r="I8" s="2"/>
      <x:c r="J8" s="2"/>
      <x:c r="K8" s="2"/>
      <x:c r="L8" s="2"/>
      <x:c r="M8" s="2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</x:row>
    <x:row r="9" ht="24" customHeight="1">
      <x:c r="A9" s="1"/>
      <x:c r="B9" s="1"/>
      <x:c r="C9" s="1" t="str">
        <x:v>审核与支持／场</x:v>
      </x:c>
      <x:c r="D9" s="30" t="n">
        <x:f>D46*D47/60*D48</x:f>
        <x:v>300</x:v>
      </x:c>
      <x:c r="E9" s="2" t="str">
        <x:v>全量提交×含申诉平均分钟÷60×时薪；不得再重复加申诉成本</x:v>
      </x:c>
      <x:c r="F9" s="2"/>
      <x:c r="G9" s="2"/>
      <x:c r="H9" s="2"/>
      <x:c r="I9" s="2"/>
      <x:c r="J9" s="2"/>
      <x:c r="K9" s="2"/>
      <x:c r="L9" s="2"/>
      <x:c r="M9" s="2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</x:row>
    <x:row r="10" ht="24" customHeight="1">
      <x:c r="A10" s="1"/>
      <x:c r="B10" s="1"/>
      <x:c r="C10" s="1" t="str">
        <x:v>计量与数据／场</x:v>
      </x:c>
      <x:c r="D10" s="10" t="n">
        <x:v>100</x:v>
      </x:c>
      <x:c r="E10" s="2" t="str">
        <x:v>RM；估计，非报价</x:v>
      </x:c>
      <x:c r="F10" s="2"/>
      <x:c r="G10" s="2"/>
      <x:c r="H10" s="2"/>
      <x:c r="I10" s="2"/>
      <x:c r="J10" s="2"/>
      <x:c r="K10" s="2"/>
      <x:c r="L10" s="2"/>
      <x:c r="M10" s="2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</x:row>
    <x:row r="11" ht="24" customHeight="1">
      <x:c r="A11" s="1"/>
      <x:c r="B11" s="1"/>
      <x:c r="C11" s="1" t="str">
        <x:v>支付／场</x:v>
      </x:c>
      <x:c r="D11" s="30" t="n">
        <x:f>IF(D49=0,D53,D6*(1+D7)*D50+D51)</x:f>
        <x:v>150</x:v>
      </x:c>
      <x:c r="E11" s="2" t="str">
        <x:v>150为历史估计占位；模式1按全品牌资金计费，非仅服务费</x:v>
      </x:c>
      <x:c r="F11" s="2"/>
      <x:c r="G11" s="2"/>
      <x:c r="H11" s="2"/>
      <x:c r="I11" s="2"/>
      <x:c r="J11" s="2"/>
      <x:c r="K11" s="2"/>
      <x:c r="L11" s="2"/>
      <x:c r="M11" s="2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3"/>
      <x:c r="AG11" s="3"/>
      <x:c r="AH11" s="3"/>
      <x:c r="AI11" s="3"/>
      <x:c r="AJ11" s="3"/>
      <x:c r="AK11" s="3"/>
      <x:c r="AL11" s="3"/>
      <x:c r="AM11" s="3"/>
      <x:c r="AN11" s="3"/>
    </x:row>
    <x:row r="12" ht="24" customHeight="1">
      <x:c r="A12" s="1"/>
      <x:c r="B12" s="1"/>
      <x:c r="C12" s="1" t="str">
        <x:v>异常损失／场</x:v>
      </x:c>
      <x:c r="D12" s="10" t="n">
        <x:v>50</x:v>
      </x:c>
      <x:c r="E12" s="2" t="str">
        <x:v>RM；估计，非报价</x:v>
      </x:c>
      <x:c r="F12" s="2"/>
      <x:c r="G12" s="2"/>
      <x:c r="H12" s="2"/>
      <x:c r="I12" s="2"/>
      <x:c r="J12" s="2"/>
      <x:c r="K12" s="2"/>
      <x:c r="L12" s="2"/>
      <x:c r="M12" s="2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</x:row>
    <x:row r="13" ht="24" customHeight="1">
      <x:c r="A13" s="1"/>
      <x:c r="B13" s="1"/>
      <x:c r="C13" s="1" t="str">
        <x:v>活动获取／转介佣金／场</x:v>
      </x:c>
      <x:c r="D13" s="10" t="n">
        <x:v>150</x:v>
      </x:c>
      <x:c r="E13" s="2" t="str">
        <x:v>RM；新增假设，每单发生；不属于品牌CAC</x:v>
      </x:c>
      <x:c r="F13" s="2"/>
      <x:c r="G13" s="2"/>
      <x:c r="H13" s="2"/>
      <x:c r="I13" s="2"/>
      <x:c r="J13" s="2"/>
      <x:c r="K13" s="2"/>
      <x:c r="L13" s="2"/>
      <x:c r="M13" s="2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</x:row>
    <x:row r="14" ht="24" customHeight="1">
      <x:c r="A14" s="1"/>
      <x:c r="B14" s="1"/>
      <x:c r="C14" s="1" t="str">
        <x:v>固定履约／月</x:v>
      </x:c>
      <x:c r="D14" s="10" t="n">
        <x:v>2000</x:v>
      </x:c>
      <x:c r="E14" s="2" t="str">
        <x:v>RM；计入销售成本，也是固定17000的一部分</x:v>
      </x:c>
      <x:c r="F14" s="2"/>
      <x:c r="G14" s="2"/>
      <x:c r="H14" s="2"/>
      <x:c r="I14" s="2"/>
      <x:c r="J14" s="2"/>
      <x:c r="K14" s="2"/>
      <x:c r="L14" s="2"/>
      <x:c r="M14" s="2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</x:row>
    <x:row r="15" ht="24" customHeight="1">
      <x:c r="A15" s="1"/>
      <x:c r="B15" s="1"/>
      <x:c r="C15" s="1" t="str">
        <x:v>固定非履约运营／月</x:v>
      </x:c>
      <x:c r="D15" s="10" t="n">
        <x:v>15000</x:v>
      </x:c>
      <x:c r="E15" s="2" t="str">
        <x:v>RM；不再另扣2000；原12000+5000重分类</x:v>
      </x:c>
      <x:c r="F15" s="2"/>
      <x:c r="G15" s="2"/>
      <x:c r="H15" s="2"/>
      <x:c r="I15" s="2"/>
      <x:c r="J15" s="2"/>
      <x:c r="K15" s="2"/>
      <x:c r="L15" s="2"/>
      <x:c r="M15" s="2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</x:row>
    <x:row r="16" ht="24" customHeight="1">
      <x:c r="A16" s="1"/>
      <x:c r="B16" s="1"/>
      <x:c r="C16" s="1" t="str">
        <x:v>历史开发预算锚点</x:v>
      </x:c>
      <x:c r="D16" s="10" t="n">
        <x:v>189750</x:v>
      </x:c>
      <x:c r="E16" s="2" t="str">
        <x:v>RM；已含开发预备金，非新范围报价</x:v>
      </x:c>
      <x:c r="F16" s="2"/>
      <x:c r="G16" s="2"/>
      <x:c r="H16" s="2"/>
      <x:c r="I16" s="2"/>
      <x:c r="J16" s="2"/>
      <x:c r="K16" s="2"/>
      <x:c r="L16" s="2"/>
      <x:c r="M16" s="2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</x:row>
    <x:row r="17" ht="24" customHeight="1">
      <x:c r="A17" s="1"/>
      <x:c r="B17" s="1"/>
      <x:c r="C17" s="1" t="str">
        <x:v>新增计量与反作弊开发</x:v>
      </x:c>
      <x:c r="D17" s="10" t="n">
        <x:v>0</x:v>
      </x:c>
      <x:c r="E17" s="2" t="str">
        <x:v>未报价！零仅占位，资金需求是情景下限</x:v>
      </x:c>
      <x:c r="F17" s="2"/>
      <x:c r="G17" s="2"/>
      <x:c r="H17" s="2"/>
      <x:c r="I17" s="2"/>
      <x:c r="J17" s="2"/>
      <x:c r="K17" s="2"/>
      <x:c r="L17" s="2"/>
      <x:c r="M17" s="2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</x:row>
    <x:row r="18" ht="24" customHeight="1">
      <x:c r="A18" s="1"/>
      <x:c r="B18" s="1"/>
      <x:c r="C18" s="1" t="str">
        <x:v>建设期运营／月</x:v>
      </x:c>
      <x:c r="D18" s="10" t="n">
        <x:v>12000</x:v>
      </x:c>
      <x:c r="E18" s="2" t="str">
        <x:v>RM；历史预算假设</x:v>
      </x:c>
      <x:c r="F18" s="2"/>
      <x:c r="G18" s="2"/>
      <x:c r="H18" s="2"/>
      <x:c r="I18" s="2"/>
      <x:c r="J18" s="2"/>
      <x:c r="K18" s="2"/>
      <x:c r="L18" s="2"/>
      <x:c r="M18" s="2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</x:row>
    <x:row r="19" ht="24" customHeight="1">
      <x:c r="A19" s="1"/>
      <x:c r="B19" s="1"/>
      <x:c r="C19" s="1" t="str">
        <x:v>一次性启动池</x:v>
      </x:c>
      <x:c r="D19" s="10" t="n">
        <x:v>50000</x:v>
      </x:c>
      <x:c r="E19" s="2" t="str">
        <x:v>RM；M5首批品牌获客、试点及专业服务；不重复计CAC</x:v>
      </x:c>
      <x:c r="F19" s="2"/>
      <x:c r="G19" s="2"/>
      <x:c r="H19" s="2"/>
      <x:c r="I19" s="2"/>
      <x:c r="J19" s="2"/>
      <x:c r="K19" s="2"/>
      <x:c r="L19" s="2"/>
      <x:c r="M19" s="2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</x:row>
    <x:row r="20" ht="24" customHeight="1">
      <x:c r="A20" s="1"/>
      <x:c r="B20" s="1"/>
      <x:c r="C20" s="1" t="str">
        <x:v>独立销售品牌获客费</x:v>
      </x:c>
      <x:c r="D20" s="10" t="n">
        <x:v>1500</x:v>
      </x:c>
      <x:c r="E20" s="2" t="str">
        <x:v>RM／新增品牌；M6起；不含每单佣金及固定销售工资</x:v>
      </x:c>
      <x:c r="F20" s="2"/>
      <x:c r="G20" s="2"/>
      <x:c r="H20" s="2"/>
      <x:c r="I20" s="2"/>
      <x:c r="J20" s="2"/>
      <x:c r="K20" s="2"/>
      <x:c r="L20" s="2"/>
      <x:c r="M20" s="2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</x:row>
    <x:row r="21" ht="24" customHeight="1">
      <x:c r="A21" s="1"/>
      <x:c r="B21" s="1"/>
      <x:c r="C21" s="1" t="str">
        <x:v>每活跃品牌每月活动</x:v>
      </x:c>
      <x:c r="D21" s="10" t="n">
        <x:v>2</x:v>
      </x:c>
      <x:c r="E21" s="2" t="str">
        <x:v>说明假设；当月新品牌也完成全部活动</x:v>
      </x:c>
      <x:c r="F21" s="2"/>
      <x:c r="G21" s="2"/>
      <x:c r="H21" s="2"/>
      <x:c r="I21" s="2"/>
      <x:c r="J21" s="2"/>
      <x:c r="K21" s="2"/>
      <x:c r="L21" s="2"/>
      <x:c r="M21" s="2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</x:row>
    <x:row r="22" ht="24" customHeight="1">
      <x:c r="A22" s="1"/>
      <x:c r="B22" s="1"/>
      <x:c r="C22" s="1" t="str">
        <x:v>月品牌流失率</x:v>
      </x:c>
      <x:c r="D22" s="11" t="n">
        <x:v>0.05</x:v>
      </x:c>
      <x:c r="E22" s="2" t="str">
        <x:v>说明假设；连续近似品牌数，不作人数承诺</x:v>
      </x:c>
      <x:c r="F22" s="2"/>
      <x:c r="G22" s="2"/>
      <x:c r="H22" s="2"/>
      <x:c r="I22" s="2"/>
      <x:c r="J22" s="2"/>
      <x:c r="K22" s="2"/>
      <x:c r="L22" s="2"/>
      <x:c r="M22" s="2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</x:row>
    <x:row r="23" ht="24" customHeight="1">
      <x:c r="A23" s="1"/>
      <x:c r="B23" s="1"/>
      <x:c r="C23" s="1" t="str">
        <x:v>期初可用公司现金</x:v>
      </x:c>
      <x:c r="D23" s="10" t="n">
        <x:v>0</x:v>
      </x:c>
      <x:c r="E23" s="2" t="str">
        <x:v>RM；创始人投入未知；只影响余额，不影响回本</x:v>
      </x:c>
      <x:c r="F23" s="2"/>
      <x:c r="G23" s="2"/>
      <x:c r="H23" s="2"/>
      <x:c r="I23" s="2"/>
      <x:c r="J23" s="2"/>
      <x:c r="K23" s="2"/>
      <x:c r="L23" s="2"/>
      <x:c r="M23" s="2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</x:row>
    <x:row r="24" ht="24" customHeight="1">
      <x:c r="A24" s="1"/>
      <x:c r="B24" s="1"/>
      <x:c r="C24" s="1" t="str">
        <x:v>单位经济示例活动／月</x:v>
      </x:c>
      <x:c r="D24" s="10" t="n">
        <x:v>20</x:v>
      </x:c>
      <x:c r="E24" s="2" t="str">
        <x:v>说明情景；未含新增品牌CAC</x:v>
      </x:c>
      <x:c r="F24" s="2"/>
      <x:c r="G24" s="2"/>
      <x:c r="H24" s="2"/>
      <x:c r="I24" s="2"/>
      <x:c r="J24" s="2"/>
      <x:c r="K24" s="2"/>
      <x:c r="L24" s="2"/>
      <x:c r="M24" s="2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</x:row>
    <x:row r="25" ht="24" customHeight="1">
      <x:c r="A25" s="1"/>
      <x:c r="B25" s="1"/>
      <x:c r="C25" s="1" t="str">
        <x:v>建设月数</x:v>
      </x:c>
      <x:c r="D25" s="10" t="n">
        <x:v>4</x:v>
      </x:c>
      <x:c r="E25" s="2" t="str">
        <x:v>M1–M4等额付开发费；非已签付款安排</x:v>
      </x:c>
      <x:c r="F25" s="2"/>
      <x:c r="G25" s="2"/>
      <x:c r="H25" s="2"/>
      <x:c r="I25" s="2"/>
      <x:c r="J25" s="2"/>
      <x:c r="K25" s="2"/>
      <x:c r="L25" s="2"/>
      <x:c r="M25" s="2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</x:row>
    <x:row r="26" ht="24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</x:row>
    <x:row r="27" ht="24" customHeight="1">
      <x:c r="A27" s="1"/>
      <x:c r="B27" s="1"/>
      <x:c r="C27" s="12" t="str">
        <x:v>蓝字浅黄＝可编辑输入；绿字＝跨表公式；月序为相对月份，无虚构开工日。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</x:row>
    <x:row r="28" ht="24" customHeight="1">
      <x:c r="A28" s="1"/>
      <x:c r="B28" s="1"/>
      <x:c r="C28" s="12" t="str">
        <x:v>三情景并列计算，按要求各保留36个月明细；修改此处即自动更新相应情景。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</x:row>
    <x:row r="29" ht="24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</x:row>
    <x:row r="30" ht="24" customHeight="1">
      <x:c r="A30" s="1"/>
      <x:c r="B30" s="1"/>
      <x:c r="C30" s="1"/>
      <x:c r="D30" s="10" t="n">
        <x:v>1</x:v>
      </x:c>
      <x:c r="E30" s="10" t="n">
        <x:v>2</x:v>
      </x:c>
      <x:c r="F30" s="10" t="n">
        <x:v>3</x:v>
      </x:c>
      <x:c r="G30" s="10" t="n">
        <x:v>4</x:v>
      </x:c>
      <x:c r="H30" s="10" t="n">
        <x:v>5</x:v>
      </x:c>
      <x:c r="I30" s="10" t="n">
        <x:v>6</x:v>
      </x:c>
      <x:c r="J30" s="10" t="n">
        <x:v>7</x:v>
      </x:c>
      <x:c r="K30" s="10" t="n">
        <x:v>8</x:v>
      </x:c>
      <x:c r="L30" s="10" t="n">
        <x:v>9</x:v>
      </x:c>
      <x:c r="M30" s="10" t="n">
        <x:v>10</x:v>
      </x:c>
      <x:c r="N30" s="14" t="n">
        <x:v>11</x:v>
      </x:c>
      <x:c r="O30" s="14" t="n">
        <x:v>12</x:v>
      </x:c>
      <x:c r="P30" s="14" t="n">
        <x:v>13</x:v>
      </x:c>
      <x:c r="Q30" s="14" t="n">
        <x:v>14</x:v>
      </x:c>
      <x:c r="R30" s="14" t="n">
        <x:v>15</x:v>
      </x:c>
      <x:c r="S30" s="14" t="n">
        <x:v>16</x:v>
      </x:c>
      <x:c r="T30" s="14" t="n">
        <x:v>17</x:v>
      </x:c>
      <x:c r="U30" s="14" t="n">
        <x:v>18</x:v>
      </x:c>
      <x:c r="V30" s="14" t="n">
        <x:v>19</x:v>
      </x:c>
      <x:c r="W30" s="14" t="n">
        <x:v>20</x:v>
      </x:c>
      <x:c r="X30" s="14" t="n">
        <x:v>21</x:v>
      </x:c>
      <x:c r="Y30" s="14" t="n">
        <x:v>22</x:v>
      </x:c>
      <x:c r="Z30" s="14" t="n">
        <x:v>23</x:v>
      </x:c>
      <x:c r="AA30" s="14" t="n">
        <x:v>24</x:v>
      </x:c>
      <x:c r="AB30" s="14" t="n">
        <x:v>25</x:v>
      </x:c>
      <x:c r="AC30" s="14" t="n">
        <x:v>26</x:v>
      </x:c>
      <x:c r="AD30" s="14" t="n">
        <x:v>27</x:v>
      </x:c>
      <x:c r="AE30" s="14" t="n">
        <x:v>28</x:v>
      </x:c>
      <x:c r="AF30" s="14" t="n">
        <x:v>29</x:v>
      </x:c>
      <x:c r="AG30" s="14" t="n">
        <x:v>30</x:v>
      </x:c>
      <x:c r="AH30" s="14" t="n">
        <x:v>31</x:v>
      </x:c>
      <x:c r="AI30" s="14" t="n">
        <x:v>32</x:v>
      </x:c>
      <x:c r="AJ30" s="14" t="n">
        <x:v>33</x:v>
      </x:c>
      <x:c r="AK30" s="14" t="n">
        <x:v>34</x:v>
      </x:c>
      <x:c r="AL30" s="14" t="n">
        <x:v>35</x:v>
      </x:c>
      <x:c r="AM30" s="14" t="n">
        <x:v>36</x:v>
      </x:c>
      <x:c r="AN30" s="3"/>
    </x:row>
    <x:row r="31" ht="24" customHeight="1">
      <x:c r="A31" s="1"/>
      <x:c r="B31" s="1"/>
      <x:c r="C31" s="1" t="str">
        <x:v>保守｜活动数（说明输入）</x:v>
      </x:c>
      <x:c r="D31" s="10" t="n">
        <x:v>0</x:v>
      </x:c>
      <x:c r="E31" s="10" t="n">
        <x:v>0</x:v>
      </x:c>
      <x:c r="F31" s="10" t="n">
        <x:v>0</x:v>
      </x:c>
      <x:c r="G31" s="10" t="n">
        <x:v>0</x:v>
      </x:c>
      <x:c r="H31" s="10" t="n">
        <x:v>4</x:v>
      </x:c>
      <x:c r="I31" s="10" t="n">
        <x:v>6</x:v>
      </x:c>
      <x:c r="J31" s="10" t="n">
        <x:v>8</x:v>
      </x:c>
      <x:c r="K31" s="10" t="n">
        <x:v>10</x:v>
      </x:c>
      <x:c r="L31" s="10" t="n">
        <x:v>12</x:v>
      </x:c>
      <x:c r="M31" s="10" t="n">
        <x:v>14</x:v>
      </x:c>
      <x:c r="N31" s="14" t="n">
        <x:v>16</x:v>
      </x:c>
      <x:c r="O31" s="14" t="n">
        <x:v>18</x:v>
      </x:c>
      <x:c r="P31" s="14" t="n">
        <x:v>20</x:v>
      </x:c>
      <x:c r="Q31" s="14" t="n">
        <x:v>20</x:v>
      </x:c>
      <x:c r="R31" s="14" t="n">
        <x:v>22</x:v>
      </x:c>
      <x:c r="S31" s="14" t="n">
        <x:v>22</x:v>
      </x:c>
      <x:c r="T31" s="14" t="n">
        <x:v>24</x:v>
      </x:c>
      <x:c r="U31" s="14" t="n">
        <x:v>24</x:v>
      </x:c>
      <x:c r="V31" s="14" t="n">
        <x:v>24</x:v>
      </x:c>
      <x:c r="W31" s="14" t="n">
        <x:v>26</x:v>
      </x:c>
      <x:c r="X31" s="14" t="n">
        <x:v>26</x:v>
      </x:c>
      <x:c r="Y31" s="14" t="n">
        <x:v>26</x:v>
      </x:c>
      <x:c r="Z31" s="14" t="n">
        <x:v>28</x:v>
      </x:c>
      <x:c r="AA31" s="14" t="n">
        <x:v>28</x:v>
      </x:c>
      <x:c r="AB31" s="14" t="n">
        <x:v>28</x:v>
      </x:c>
      <x:c r="AC31" s="14" t="n">
        <x:v>30</x:v>
      </x:c>
      <x:c r="AD31" s="14" t="n">
        <x:v>30</x:v>
      </x:c>
      <x:c r="AE31" s="14" t="n">
        <x:v>30</x:v>
      </x:c>
      <x:c r="AF31" s="14" t="n">
        <x:v>30</x:v>
      </x:c>
      <x:c r="AG31" s="14" t="n">
        <x:v>30</x:v>
      </x:c>
      <x:c r="AH31" s="14" t="n">
        <x:v>30</x:v>
      </x:c>
      <x:c r="AI31" s="14" t="n">
        <x:v>30</x:v>
      </x:c>
      <x:c r="AJ31" s="14" t="n">
        <x:v>30</x:v>
      </x:c>
      <x:c r="AK31" s="14" t="n">
        <x:v>30</x:v>
      </x:c>
      <x:c r="AL31" s="14" t="n">
        <x:v>30</x:v>
      </x:c>
      <x:c r="AM31" s="14" t="n">
        <x:v>30</x:v>
      </x:c>
      <x:c r="AN31" s="3"/>
    </x:row>
    <x:row r="32" ht="24" customHeight="1">
      <x:c r="A32" s="1"/>
      <x:c r="B32" s="1"/>
      <x:c r="C32" s="1" t="str">
        <x:v>基准｜活动数（说明输入）</x:v>
      </x:c>
      <x:c r="D32" s="10" t="n">
        <x:v>0</x:v>
      </x:c>
      <x:c r="E32" s="10" t="n">
        <x:v>0</x:v>
      </x:c>
      <x:c r="F32" s="10" t="n">
        <x:v>0</x:v>
      </x:c>
      <x:c r="G32" s="10" t="n">
        <x:v>0</x:v>
      </x:c>
      <x:c r="H32" s="10" t="n">
        <x:v>8</x:v>
      </x:c>
      <x:c r="I32" s="10" t="n">
        <x:v>12</x:v>
      </x:c>
      <x:c r="J32" s="10" t="n">
        <x:v>16</x:v>
      </x:c>
      <x:c r="K32" s="10" t="n">
        <x:v>20</x:v>
      </x:c>
      <x:c r="L32" s="10" t="n">
        <x:v>24</x:v>
      </x:c>
      <x:c r="M32" s="10" t="n">
        <x:v>28</x:v>
      </x:c>
      <x:c r="N32" s="14" t="n">
        <x:v>32</x:v>
      </x:c>
      <x:c r="O32" s="14" t="n">
        <x:v>36</x:v>
      </x:c>
      <x:c r="P32" s="14" t="n">
        <x:v>40</x:v>
      </x:c>
      <x:c r="Q32" s="14" t="n">
        <x:v>44</x:v>
      </x:c>
      <x:c r="R32" s="14" t="n">
        <x:v>48</x:v>
      </x:c>
      <x:c r="S32" s="14" t="n">
        <x:v>52</x:v>
      </x:c>
      <x:c r="T32" s="14" t="n">
        <x:v>56</x:v>
      </x:c>
      <x:c r="U32" s="14" t="n">
        <x:v>60</x:v>
      </x:c>
      <x:c r="V32" s="14" t="n">
        <x:v>64</x:v>
      </x:c>
      <x:c r="W32" s="14" t="n">
        <x:v>68</x:v>
      </x:c>
      <x:c r="X32" s="14" t="n">
        <x:v>72</x:v>
      </x:c>
      <x:c r="Y32" s="14" t="n">
        <x:v>76</x:v>
      </x:c>
      <x:c r="Z32" s="14" t="n">
        <x:v>80</x:v>
      </x:c>
      <x:c r="AA32" s="14" t="n">
        <x:v>84</x:v>
      </x:c>
      <x:c r="AB32" s="14" t="n">
        <x:v>88</x:v>
      </x:c>
      <x:c r="AC32" s="14" t="n">
        <x:v>92</x:v>
      </x:c>
      <x:c r="AD32" s="14" t="n">
        <x:v>96</x:v>
      </x:c>
      <x:c r="AE32" s="14" t="n">
        <x:v>100</x:v>
      </x:c>
      <x:c r="AF32" s="14" t="n">
        <x:v>100</x:v>
      </x:c>
      <x:c r="AG32" s="14" t="n">
        <x:v>100</x:v>
      </x:c>
      <x:c r="AH32" s="14" t="n">
        <x:v>100</x:v>
      </x:c>
      <x:c r="AI32" s="14" t="n">
        <x:v>100</x:v>
      </x:c>
      <x:c r="AJ32" s="14" t="n">
        <x:v>100</x:v>
      </x:c>
      <x:c r="AK32" s="14" t="n">
        <x:v>100</x:v>
      </x:c>
      <x:c r="AL32" s="14" t="n">
        <x:v>100</x:v>
      </x:c>
      <x:c r="AM32" s="14" t="n">
        <x:v>100</x:v>
      </x:c>
      <x:c r="AN32" s="3"/>
    </x:row>
    <x:row r="33" ht="24" customHeight="1">
      <x:c r="A33" s="1"/>
      <x:c r="B33" s="1"/>
      <x:c r="C33" s="1" t="str">
        <x:v>扩张｜活动数（说明输入）</x:v>
      </x:c>
      <x:c r="D33" s="10" t="n">
        <x:v>0</x:v>
      </x:c>
      <x:c r="E33" s="10" t="n">
        <x:v>0</x:v>
      </x:c>
      <x:c r="F33" s="10" t="n">
        <x:v>0</x:v>
      </x:c>
      <x:c r="G33" s="10" t="n">
        <x:v>0</x:v>
      </x:c>
      <x:c r="H33" s="10" t="n">
        <x:v>12</x:v>
      </x:c>
      <x:c r="I33" s="10" t="n">
        <x:v>20</x:v>
      </x:c>
      <x:c r="J33" s="10" t="n">
        <x:v>28</x:v>
      </x:c>
      <x:c r="K33" s="10" t="n">
        <x:v>36</x:v>
      </x:c>
      <x:c r="L33" s="10" t="n">
        <x:v>44</x:v>
      </x:c>
      <x:c r="M33" s="10" t="n">
        <x:v>52</x:v>
      </x:c>
      <x:c r="N33" s="14" t="n">
        <x:v>60</x:v>
      </x:c>
      <x:c r="O33" s="14" t="n">
        <x:v>68</x:v>
      </x:c>
      <x:c r="P33" s="14" t="n">
        <x:v>76</x:v>
      </x:c>
      <x:c r="Q33" s="14" t="n">
        <x:v>84</x:v>
      </x:c>
      <x:c r="R33" s="14" t="n">
        <x:v>92</x:v>
      </x:c>
      <x:c r="S33" s="14" t="n">
        <x:v>100</x:v>
      </x:c>
      <x:c r="T33" s="14" t="n">
        <x:v>110</x:v>
      </x:c>
      <x:c r="U33" s="14" t="n">
        <x:v>120</x:v>
      </x:c>
      <x:c r="V33" s="14" t="n">
        <x:v>130</x:v>
      </x:c>
      <x:c r="W33" s="14" t="n">
        <x:v>140</x:v>
      </x:c>
      <x:c r="X33" s="14" t="n">
        <x:v>150</x:v>
      </x:c>
      <x:c r="Y33" s="14" t="n">
        <x:v>160</x:v>
      </x:c>
      <x:c r="Z33" s="14" t="n">
        <x:v>170</x:v>
      </x:c>
      <x:c r="AA33" s="14" t="n">
        <x:v>180</x:v>
      </x:c>
      <x:c r="AB33" s="14" t="n">
        <x:v>190</x:v>
      </x:c>
      <x:c r="AC33" s="14" t="n">
        <x:v>200</x:v>
      </x:c>
      <x:c r="AD33" s="14" t="n">
        <x:v>210</x:v>
      </x:c>
      <x:c r="AE33" s="14" t="n">
        <x:v>220</x:v>
      </x:c>
      <x:c r="AF33" s="14" t="n">
        <x:v>230</x:v>
      </x:c>
      <x:c r="AG33" s="14" t="n">
        <x:v>240</x:v>
      </x:c>
      <x:c r="AH33" s="14" t="n">
        <x:v>240</x:v>
      </x:c>
      <x:c r="AI33" s="14" t="n">
        <x:v>240</x:v>
      </x:c>
      <x:c r="AJ33" s="14" t="n">
        <x:v>240</x:v>
      </x:c>
      <x:c r="AK33" s="14" t="n">
        <x:v>240</x:v>
      </x:c>
      <x:c r="AL33" s="14" t="n">
        <x:v>240</x:v>
      </x:c>
      <x:c r="AM33" s="14" t="n">
        <x:v>240</x:v>
      </x:c>
      <x:c r="AN33" s="3"/>
    </x:row>
    <x:row r="34" ht="24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</x:row>
    <x:row r="35" ht="24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</x:row>
    <x:row r="36" ht="24" customHeight="1">
      <x:c r="A36" s="1"/>
      <x:c r="B36" s="1"/>
      <x:c r="C36" s="12" t="str">
        <x:v>来源：phase-0/foundation/business-model-v2.md；belcort-handoff-v1.md（2026-09-10）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</x:row>
    <x:row r="37" ht="24" customHeight="1">
      <x:c r="A37" s="1"/>
      <x:c r="B37" s="1"/>
      <x:c r="C37" s="12" t="str">
        <x:v>新增150佣金、600拆分、固定费用重分类及CAC路径：本轮授权情景假设，均非供应商报价。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</x:row>
    <x:row r="38" ht="24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</x:row>
    <x:row r="39" ht="24" customHeight="1">
      <x:c r="A39" s="1"/>
      <x:c r="B39" s="1"/>
      <x:c r="C39" s="12" t="str">
        <x:v>会计口径：暂按代理规划假设，奖励代转款不计平台收入与成本；实际总额／净额待合同判断。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</x:row>
    <x:row r="40" ht="24" customHeight="1">
      <x:c r="A40" s="1"/>
      <x:c r="B40" s="1"/>
      <x:c r="C40" s="1" t="str">
        <x:v>https://www.ifrs.org/news-and-events/updates/ifric/2022/ifric-update-april-2022/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</x:row>
    <x:row r="41" ht="24" customHeight="1">
      <x:c r="A41" s="1"/>
      <x:c r="B41" s="1"/>
      <x:c r="C41" s="1" t="str">
        <x:v>https://openstax.org/books/principles-managerial-accounting/pages/3-1-explain-contribution-margin-and-calculate-contribution-margin-per-unit-contribution-margin-ratio-and-total-contribution-margin</x:v>
      </x:c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</x:row>
    <x:row r="42" ht="24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</x:row>
    <x:row r="43" ht="24" customHeight="1">
      <x:c r="A43" s="1"/>
      <x:c r="B43" s="1"/>
      <x:c r="C43" s="12" t="str">
        <x:v>不主张托管或支付许可已具备。费用均未报价；税、利息、收付款账期及折旧政策未建模。</x:v>
      </x:c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</x:row>
    <x:row r="44" ht="24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</x:row>
    <x:row r="45" ht="29" customHeight="1">
      <x:c r="A45" s="1"/>
      <x:c r="B45" s="1"/>
      <x:c r="C45" s="7" t="str">
        <x:v>审核、支付与收款驱动</x:v>
      </x:c>
      <x:c r="D45" s="8" t="str">
        <x:v>数值</x:v>
      </x:c>
      <x:c r="E45" s="8" t="str">
        <x:v>说明</x:v>
      </x:c>
      <x:c r="F45" s="2"/>
      <x:c r="G45" s="2"/>
      <x:c r="H45" s="2"/>
      <x:c r="I45" s="2"/>
      <x:c r="J45" s="2"/>
      <x:c r="K45" s="2"/>
      <x:c r="L45" s="2"/>
      <x:c r="M45" s="2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</x:row>
    <x:row r="46" ht="24" customHeight="1">
      <x:c r="A46" s="1"/>
      <x:c r="B46" s="1"/>
      <x:c r="C46" s="1" t="str">
        <x:v>全量审核提交／场</x:v>
      </x:c>
      <x:c r="D46" s="26" t="n">
        <x:v>200</x:v>
      </x:c>
      <x:c r="E46" s="1" t="str">
        <x:v>包括通过与拒绝的所有提交；不是仅已付款提交</x:v>
      </x:c>
      <x:c r="F46" s="1"/>
      <x:c r="G46" s="1"/>
      <x:c r="H46" s="1"/>
      <x:c r="I46" s="1"/>
      <x:c r="J46" s="1"/>
      <x:c r="K46" s="1"/>
      <x:c r="L46" s="1"/>
      <x:c r="M46" s="1"/>
    </x:row>
    <x:row r="47" ht="24" customHeight="1">
      <x:c r="A47" s="1"/>
      <x:c r="B47" s="1"/>
      <x:c r="C47" s="1" t="str">
        <x:v>平台平均审核分钟／提交</x:v>
      </x:c>
      <x:c r="D47" s="26" t="n">
        <x:v>1.5</x:v>
      </x:c>
      <x:c r="E47" s="1" t="str">
        <x:v>含异常及申诉的加权平均；假设，非效率基准；不含品牌自己审核</x:v>
      </x:c>
      <x:c r="F47" s="1"/>
      <x:c r="G47" s="1"/>
      <x:c r="H47" s="1"/>
      <x:c r="I47" s="1"/>
      <x:c r="J47" s="1"/>
      <x:c r="K47" s="1"/>
      <x:c r="L47" s="1"/>
      <x:c r="M47" s="1"/>
    </x:row>
    <x:row r="48" ht="24" customHeight="1">
      <x:c r="A48" s="1"/>
      <x:c r="B48" s="1"/>
      <x:c r="C48" s="1" t="str">
        <x:v>平台审核时薪</x:v>
      </x:c>
      <x:c r="D48" s="26" t="n">
        <x:v>60</x:v>
      </x:c>
      <x:c r="E48" s="1" t="str">
        <x:v>RM／小时；假设，非报价</x:v>
      </x:c>
      <x:c r="F48" s="1"/>
      <x:c r="G48" s="1"/>
      <x:c r="H48" s="1"/>
      <x:c r="I48" s="1"/>
      <x:c r="J48" s="1"/>
      <x:c r="K48" s="1"/>
      <x:c r="L48" s="1"/>
      <x:c r="M48" s="1"/>
    </x:row>
    <x:row r="49" ht="24" customHeight="1">
      <x:c r="A49" s="1"/>
      <x:c r="B49" s="1"/>
      <x:c r="C49" s="1" t="str">
        <x:v>支付费模式</x:v>
      </x:c>
      <x:c r="D49" s="26" t="n">
        <x:v>0</x:v>
      </x:c>
      <x:c r="E49" s="1" t="str">
        <x:v>0＝原150占位；1＝全品牌资金×费率＋每场固定费</x:v>
      </x:c>
      <x:c r="F49" s="1"/>
      <x:c r="G49" s="1"/>
      <x:c r="H49" s="1"/>
      <x:c r="I49" s="1"/>
      <x:c r="J49" s="1"/>
      <x:c r="K49" s="1"/>
      <x:c r="L49" s="1"/>
      <x:c r="M49" s="1"/>
    </x:row>
    <x:row r="50" ht="24" customHeight="1">
      <x:c r="A50" s="1"/>
      <x:c r="B50" s="1"/>
      <x:c r="C50" s="1" t="str">
        <x:v>全品牌资金支付费率</x:v>
      </x:c>
      <x:c r="D50" s="11" t="n">
        <x:v>0.03</x:v>
      </x:c>
      <x:c r="E50" s="1" t="str">
        <x:v>3%仅敏感性假设，非Whop或市场报价</x:v>
      </x:c>
      <x:c r="F50" s="1"/>
      <x:c r="G50" s="1"/>
      <x:c r="H50" s="1"/>
      <x:c r="I50" s="1"/>
      <x:c r="J50" s="1"/>
      <x:c r="K50" s="1"/>
      <x:c r="L50" s="1"/>
      <x:c r="M50" s="1"/>
    </x:row>
    <x:row r="51" ht="24" customHeight="1">
      <x:c r="A51" s="1"/>
      <x:c r="B51" s="1"/>
      <x:c r="C51" s="1" t="str">
        <x:v>额外每场支付固定费</x:v>
      </x:c>
      <x:c r="D51" s="26" t="n">
        <x:v>0</x:v>
      </x:c>
      <x:c r="E51" s="1" t="str">
        <x:v>RM；出款与固定费待报价，零仅占位</x:v>
      </x:c>
      <x:c r="F51" s="1"/>
      <x:c r="G51" s="1"/>
      <x:c r="H51" s="1"/>
      <x:c r="I51" s="1"/>
      <x:c r="J51" s="1"/>
      <x:c r="K51" s="1"/>
      <x:c r="L51" s="1"/>
      <x:c r="M51" s="1"/>
    </x:row>
    <x:row r="52" ht="24" customHeight="1">
      <x:c r="A52" s="1"/>
      <x:c r="B52" s="1"/>
      <x:c r="C52" s="1" t="str">
        <x:v>服务费收款延迟（月）</x:v>
      </x:c>
      <x:c r="D52" s="26" t="n">
        <x:v>0</x:v>
      </x:c>
      <x:c r="E52" s="1" t="str">
        <x:v>0或1；基准同月收款是假设；非外部平台账期</x:v>
      </x:c>
      <x:c r="F52" s="1"/>
      <x:c r="G52" s="1"/>
      <x:c r="H52" s="1"/>
      <x:c r="I52" s="1"/>
      <x:c r="J52" s="1"/>
      <x:c r="K52" s="1"/>
      <x:c r="L52" s="1"/>
      <x:c r="M52" s="1"/>
    </x:row>
    <x:row r="53" ht="24" customHeight="1">
      <x:c r="A53" s="1"/>
      <x:c r="B53" s="1"/>
      <x:c r="C53" s="1" t="str">
        <x:v>原支付占位／场</x:v>
      </x:c>
      <x:c r="D53" s="26" t="n">
        <x:v>150</x:v>
      </x:c>
      <x:c r="E53" s="1" t="str">
        <x:v>可编辑；非市场报价；模式0采用</x:v>
      </x:c>
      <x:c r="F53" s="1"/>
      <x:c r="G53" s="1"/>
      <x:c r="H53" s="1"/>
      <x:c r="I53" s="1"/>
      <x:c r="J53" s="1"/>
      <x:c r="K53" s="1"/>
      <x:c r="L53" s="1"/>
      <x:c r="M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</x:sheetData>
  <x:dataValidations count="2">
    <x:dataValidation type="whole" operator="between" sqref="D49">
      <x:formula1>0</x:formula1>
      <x:formula2>1</x:formula2>
    </x:dataValidation>
    <x:dataValidation type="whole" operator="between" sqref="D52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D2A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</x:cols>
  <x:sheetData>
    <x:row r="1" ht="24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</x:row>
    <x:row r="2" ht="24" customHeight="1">
      <x:c r="A2" s="1"/>
      <x:c r="B2" s="1"/>
      <x:c r="C2" s="4" t="str">
        <x:v>Wringy｜单位经济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</x:row>
    <x:row r="3" ht="24" customHeight="1">
      <x:c r="A3" s="1"/>
      <x:c r="B3" s="1"/>
      <x:c r="C3" s="1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</x:row>
    <x:row r="4" ht="24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</x:row>
    <x:row r="5" ht="29" customHeight="1">
      <x:c r="A5" s="1"/>
      <x:c r="B5" s="1"/>
      <x:c r="C5" s="7" t="str">
        <x:v>每场经济与20场示例</x:v>
      </x:c>
      <x:c r="D5" s="8" t="str">
        <x:v>数值</x:v>
      </x:c>
      <x:c r="E5" s="2"/>
      <x:c r="F5" s="2"/>
      <x:c r="G5" s="2"/>
      <x:c r="H5" s="2"/>
      <x:c r="I5" s="2"/>
      <x:c r="J5" s="2"/>
      <x:c r="K5" s="2"/>
      <x:c r="L5" s="2"/>
      <x:c r="M5" s="2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</x:row>
    <x:row r="6" ht="24" customHeight="1">
      <x:c r="A6" s="1"/>
      <x:c r="B6" s="1"/>
      <x:c r="C6" s="1" t="str">
        <x:v>服务收入</x:v>
      </x:c>
      <x:c r="D6" s="15" t="n">
        <x:f>'假设'!$D$6*'假设'!$D$7</x:f>
        <x:v>1500</x:v>
      </x:c>
      <x:c r="E6" s="2"/>
      <x:c r="F6" s="2"/>
      <x:c r="G6" s="2"/>
      <x:c r="H6" s="2"/>
      <x:c r="I6" s="2"/>
      <x:c r="J6" s="2"/>
      <x:c r="K6" s="2"/>
      <x:c r="L6" s="2"/>
      <x:c r="M6" s="2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</x:row>
    <x:row r="7" ht="24" customHeight="1">
      <x:c r="A7" s="1"/>
      <x:c r="B7" s="1"/>
      <x:c r="C7" s="1" t="str">
        <x:v>品牌总支出</x:v>
      </x:c>
      <x:c r="D7" s="15" t="n">
        <x:f>'假设'!$D$6+D6</x:f>
        <x:v>11500</x:v>
      </x:c>
      <x:c r="E7" s="2"/>
      <x:c r="F7" s="2"/>
      <x:c r="G7" s="2"/>
      <x:c r="H7" s="2"/>
      <x:c r="I7" s="2"/>
      <x:c r="J7" s="2"/>
      <x:c r="K7" s="2"/>
      <x:c r="L7" s="2"/>
      <x:c r="M7" s="2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</x:row>
    <x:row r="8" ht="24" customHeight="1">
      <x:c r="A8" s="1"/>
      <x:c r="B8" s="1"/>
      <x:c r="C8" s="1" t="str">
        <x:v>服务费率</x:v>
      </x:c>
      <x:c r="D8" s="16" t="n">
        <x:f>'假设'!$D$7</x:f>
        <x:v>0.15</x:v>
      </x:c>
      <x:c r="E8" s="2"/>
      <x:c r="F8" s="2"/>
      <x:c r="G8" s="2"/>
      <x:c r="H8" s="2"/>
      <x:c r="I8" s="2"/>
      <x:c r="J8" s="2"/>
      <x:c r="K8" s="2"/>
      <x:c r="L8" s="2"/>
      <x:c r="M8" s="2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</x:row>
    <x:row r="9" ht="24" customHeight="1">
      <x:c r="A9" s="1"/>
      <x:c r="B9" s="1"/>
      <x:c r="C9" s="1" t="str">
        <x:v>服务收入／品牌支出</x:v>
      </x:c>
      <x:c r="D9" s="17" t="n">
        <x:f>D6/D7</x:f>
        <x:v>0.13043478260869565</x:v>
      </x:c>
      <x:c r="E9" s="2"/>
      <x:c r="F9" s="2"/>
      <x:c r="G9" s="2"/>
      <x:c r="H9" s="2"/>
      <x:c r="I9" s="2"/>
      <x:c r="J9" s="2"/>
      <x:c r="K9" s="2"/>
      <x:c r="L9" s="2"/>
      <x:c r="M9" s="2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</x:row>
    <x:row r="10" ht="24" customHeight="1">
      <x:c r="A10" s="1"/>
      <x:c r="B10" s="1"/>
      <x:c r="C10" s="1" t="str">
        <x:v>所需合格播放／场</x:v>
      </x:c>
      <x:c r="D10" s="15" t="n">
        <x:f>'假设'!$D$6/'假设'!$D$8*1000</x:f>
        <x:v>2000000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</x:row>
    <x:row r="11" ht="24" customHeight="1">
      <x:c r="A11" s="1"/>
      <x:c r="B11" s="1"/>
      <x:c r="C11" s="1" t="str">
        <x:v>可变履约成本／场</x:v>
      </x:c>
      <x:c r="D11" s="15" t="n">
        <x:f>SUM('假设'!$D$9:'假设'!$D$12)</x:f>
        <x:v>600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3"/>
      <x:c r="AG11" s="3"/>
      <x:c r="AH11" s="3"/>
      <x:c r="AI11" s="3"/>
      <x:c r="AJ11" s="3"/>
      <x:c r="AK11" s="3"/>
      <x:c r="AL11" s="3"/>
      <x:c r="AM11" s="3"/>
      <x:c r="AN11" s="3"/>
    </x:row>
    <x:row r="12" ht="24" customHeight="1">
      <x:c r="A12" s="1"/>
      <x:c r="B12" s="1"/>
      <x:c r="C12" s="1" t="str">
        <x:v>活动获取佣金／场</x:v>
      </x:c>
      <x:c r="D12" s="15" t="n">
        <x:f>'假设'!$D$13</x:f>
        <x:v>150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</x:row>
    <x:row r="13" ht="24" customHeight="1">
      <x:c r="A13" s="1"/>
      <x:c r="B13" s="1"/>
      <x:c r="C13" s="1" t="str">
        <x:v>贡献／场</x:v>
      </x:c>
      <x:c r="D13" s="2" t="n">
        <x:f>D6-D11-D12</x:f>
        <x:v>750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</x:row>
    <x:row r="14" ht="24" customHeight="1">
      <x:c r="A14" s="1"/>
      <x:c r="B14" s="1"/>
      <x:c r="C14" s="1" t="str">
        <x:v>贡献率</x:v>
      </x:c>
      <x:c r="D14" s="17" t="n">
        <x:f>D13/D6</x:f>
        <x:v>0.5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</x:row>
    <x:row r="15" ht="24" customHeight="1">
      <x:c r="A15" s="1"/>
      <x:c r="B15" s="1"/>
      <x:c r="C15" s="1" t="str">
        <x:v>月活动量</x:v>
      </x:c>
      <x:c r="D15" s="15" t="n">
        <x:f>'假设'!$D$24</x:f>
        <x:v>20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</x:row>
    <x:row r="16" ht="24" customHeight="1">
      <x:c r="A16" s="1"/>
      <x:c r="B16" s="1"/>
      <x:c r="C16" s="1" t="str">
        <x:v>月收入</x:v>
      </x:c>
      <x:c r="D16" s="2" t="n">
        <x:f>D6*D15</x:f>
        <x:v>30000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</x:row>
    <x:row r="17" ht="24" customHeight="1">
      <x:c r="A17" s="1"/>
      <x:c r="B17" s="1"/>
      <x:c r="C17" s="1" t="str">
        <x:v>月销售成本（含固定履约）</x:v>
      </x:c>
      <x:c r="D17" s="15" t="n">
        <x:f>D11*D15+'假设'!$D$14</x:f>
        <x:v>14000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</x:row>
    <x:row r="18" ht="24" customHeight="1">
      <x:c r="A18" s="1"/>
      <x:c r="B18" s="1"/>
      <x:c r="C18" s="1" t="str">
        <x:v>毛利</x:v>
      </x:c>
      <x:c r="D18" s="2" t="n">
        <x:f>D16-D17</x:f>
        <x:v>16000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</x:row>
    <x:row r="19" ht="24" customHeight="1">
      <x:c r="A19" s="1"/>
      <x:c r="B19" s="1"/>
      <x:c r="C19" s="1" t="str">
        <x:v>毛利率</x:v>
      </x:c>
      <x:c r="D19" s="17" t="n">
        <x:f>D18/D16</x:f>
        <x:v>0.5333333333333333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</x:row>
    <x:row r="20" ht="24" customHeight="1">
      <x:c r="A20" s="1"/>
      <x:c r="B20" s="1"/>
      <x:c r="C20" s="1" t="str">
        <x:v>月贡献</x:v>
      </x:c>
      <x:c r="D20" s="2" t="n">
        <x:f>D13*D15</x:f>
        <x:v>15000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</x:row>
    <x:row r="21" ht="24" customHeight="1">
      <x:c r="A21" s="1"/>
      <x:c r="B21" s="1"/>
      <x:c r="C21" s="1" t="str">
        <x:v>全部固定支出</x:v>
      </x:c>
      <x:c r="D21" s="15" t="n">
        <x:f>'假设'!$D$14+'假设'!$D$15</x:f>
        <x:v>17000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</x:row>
    <x:row r="22" ht="24" customHeight="1">
      <x:c r="A22" s="1"/>
      <x:c r="B22" s="1"/>
      <x:c r="C22" s="1" t="str">
        <x:v>经营结果（新增品牌CAC前）</x:v>
      </x:c>
      <x:c r="D22" s="2" t="n">
        <x:f>D20-D21</x:f>
        <x:v>-2000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</x:row>
    <x:row r="23" ht="24" customHeight="1">
      <x:c r="A23" s="1"/>
      <x:c r="B23" s="1"/>
      <x:c r="C23" s="1" t="str">
        <x:v>经营利润率（CAC前）</x:v>
      </x:c>
      <x:c r="D23" s="17" t="n">
        <x:f>D22/D16</x:f>
        <x:v>-0.06666666666666667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</x:row>
    <x:row r="24" ht="24" customHeight="1">
      <x:c r="A24" s="1"/>
      <x:c r="B24" s="1"/>
      <x:c r="C24" s="1" t="str">
        <x:v>盈亏平衡活动数（CAC前）</x:v>
      </x:c>
      <x:c r="D24" s="2" t="n">
        <x:f>IF(D13&lt;=0,"无法达成",ROUNDUP(D21/D13,0))</x:f>
        <x:v>23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</x:row>
    <x:row r="25" ht="24" customHeight="1">
      <x:c r="A25" s="1"/>
      <x:c r="B25" s="1"/>
      <x:c r="C25" s="1" t="str">
        <x:v>税后净利润</x:v>
      </x:c>
      <x:c r="D25" s="2" t="str">
        <x:v>未知：税、利息、折旧政策未齐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</x:row>
    <x:row r="26" ht="24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</x:row>
    <x:row r="27" ht="24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</x:row>
    <x:row r="28" ht="24" customHeight="1">
      <x:c r="A28" s="1"/>
      <x:c r="B28" s="1"/>
      <x:c r="C28" s="12" t="str">
        <x:v>毛利扣可变及固定履约；贡献扣全部每场可变成本；固定2000不重复扣除。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</x:row>
    <x:row r="29" ht="24" customHeight="1">
      <x:c r="A29" s="1"/>
      <x:c r="B29" s="1"/>
      <x:c r="C29" s="12" t="str">
        <x:v>20场：经营亏损RM2,000，尚未扣新增品牌CAC；净利润未知。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</x:row>
    <x:row r="30" ht="24" customHeight="1">
      <x:c r="A30" s="1"/>
      <x:c r="B30" s="1"/>
      <x:c r="C30" s="12" t="str">
        <x:v>15%服务费 ≠ 13.04%品牌支出占比 ≠ 53.33%毛利率（20场）。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</x:row>
    <x:row r="31" ht="24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</x:row>
    <x:row r="32" ht="24" customHeight="1">
      <x:c r="A32" s="1"/>
      <x:c r="B32" s="1"/>
      <x:c r="C32" s="12" t="str">
        <x:v>毛利率以平台净服务费收入为分母；代理／主要责任人及实际收入确认仍待合同判断。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</x:row>
    <x:row r="33" ht="24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</x:row>
    <x:row r="34" ht="24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</x:row>
    <x:row r="35" ht="24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</x:row>
    <x:row r="36" ht="24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</x:row>
    <x:row r="37" ht="24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</x:row>
    <x:row r="38" ht="24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</x:row>
    <x:row r="39" ht="24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</x:row>
    <x:row r="40" ht="24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</x:row>
    <x:row r="41" ht="24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</x:row>
    <x:row r="42" ht="24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</x:row>
    <x:row r="43" ht="24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</x:row>
    <x:row r="44" ht="24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</x:row>
    <x:row r="45" ht="24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</x:cols>
  <x:sheetData>
    <x:row r="1" ht="24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3"/>
    </x:row>
    <x:row r="2" ht="24" customHeight="1">
      <x:c r="A2" s="1"/>
      <x:c r="B2" s="1"/>
      <x:c r="C2" s="4" t="str">
        <x:v>Wringy｜保守现金流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3"/>
    </x:row>
    <x:row r="3" ht="24" customHeight="1">
      <x:c r="A3" s="1"/>
      <x:c r="B3" s="1"/>
      <x:c r="C3" s="1" t="str">
        <x:v>保守｜全部为说明情景；RM，M1–M36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3"/>
    </x:row>
    <x:row r="4" ht="24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3"/>
    </x:row>
    <x:row r="5" ht="24" customHeight="1">
      <x:c r="A5" s="1"/>
      <x:c r="B5" s="1"/>
      <x:c r="C5" s="1"/>
      <x:c r="D5" s="19" t="n">
        <x:v>1</x:v>
      </x:c>
      <x:c r="E5" s="19" t="n">
        <x:v>2</x:v>
      </x:c>
      <x:c r="F5" s="19" t="n">
        <x:v>3</x:v>
      </x:c>
      <x:c r="G5" s="19" t="n">
        <x:v>4</x:v>
      </x:c>
      <x:c r="H5" s="19" t="n">
        <x:v>5</x:v>
      </x:c>
      <x:c r="I5" s="19" t="n">
        <x:v>6</x:v>
      </x:c>
      <x:c r="J5" s="19" t="n">
        <x:v>7</x:v>
      </x:c>
      <x:c r="K5" s="19" t="n">
        <x:v>8</x:v>
      </x:c>
      <x:c r="L5" s="19" t="n">
        <x:v>9</x:v>
      </x:c>
      <x:c r="M5" s="19" t="n">
        <x:v>10</x:v>
      </x:c>
      <x:c r="N5" s="19" t="n">
        <x:v>11</x:v>
      </x:c>
      <x:c r="O5" s="19" t="n">
        <x:v>12</x:v>
      </x:c>
      <x:c r="P5" s="19" t="n">
        <x:v>13</x:v>
      </x:c>
      <x:c r="Q5" s="19" t="n">
        <x:v>14</x:v>
      </x:c>
      <x:c r="R5" s="19" t="n">
        <x:v>15</x:v>
      </x:c>
      <x:c r="S5" s="19" t="n">
        <x:v>16</x:v>
      </x:c>
      <x:c r="T5" s="19" t="n">
        <x:v>17</x:v>
      </x:c>
      <x:c r="U5" s="19" t="n">
        <x:v>18</x:v>
      </x:c>
      <x:c r="V5" s="19" t="n">
        <x:v>19</x:v>
      </x:c>
      <x:c r="W5" s="19" t="n">
        <x:v>20</x:v>
      </x:c>
      <x:c r="X5" s="19" t="n">
        <x:v>21</x:v>
      </x:c>
      <x:c r="Y5" s="19" t="n">
        <x:v>22</x:v>
      </x:c>
      <x:c r="Z5" s="19" t="n">
        <x:v>23</x:v>
      </x:c>
      <x:c r="AA5" s="19" t="n">
        <x:v>24</x:v>
      </x:c>
      <x:c r="AB5" s="19" t="n">
        <x:v>25</x:v>
      </x:c>
      <x:c r="AC5" s="19" t="n">
        <x:v>26</x:v>
      </x:c>
      <x:c r="AD5" s="19" t="n">
        <x:v>27</x:v>
      </x:c>
      <x:c r="AE5" s="19" t="n">
        <x:v>28</x:v>
      </x:c>
      <x:c r="AF5" s="19" t="n">
        <x:v>29</x:v>
      </x:c>
      <x:c r="AG5" s="19" t="n">
        <x:v>30</x:v>
      </x:c>
      <x:c r="AH5" s="19" t="n">
        <x:v>31</x:v>
      </x:c>
      <x:c r="AI5" s="19" t="n">
        <x:v>32</x:v>
      </x:c>
      <x:c r="AJ5" s="19" t="n">
        <x:v>33</x:v>
      </x:c>
      <x:c r="AK5" s="19" t="n">
        <x:v>34</x:v>
      </x:c>
      <x:c r="AL5" s="19" t="n">
        <x:v>35</x:v>
      </x:c>
      <x:c r="AM5" s="19" t="n">
        <x:v>36</x:v>
      </x:c>
      <x:c r="AN5" s="3"/>
    </x:row>
    <x:row r="6" ht="24" customHeight="1">
      <x:c r="A6" s="1"/>
      <x:c r="B6" s="1"/>
      <x:c r="C6" s="1" t="str">
        <x:v>活动数</x:v>
      </x:c>
      <x:c r="D6" s="15" t="n">
        <x:f>'假设'!D31</x:f>
        <x:v>0</x:v>
      </x:c>
      <x:c r="E6" s="15" t="n">
        <x:f>'假设'!E31</x:f>
        <x:v>0</x:v>
      </x:c>
      <x:c r="F6" s="15" t="n">
        <x:f>'假设'!F31</x:f>
        <x:v>0</x:v>
      </x:c>
      <x:c r="G6" s="15" t="n">
        <x:f>'假设'!G31</x:f>
        <x:v>0</x:v>
      </x:c>
      <x:c r="H6" s="15" t="n">
        <x:f>'假设'!H31</x:f>
        <x:v>4</x:v>
      </x:c>
      <x:c r="I6" s="15" t="n">
        <x:f>'假设'!I31</x:f>
        <x:v>6</x:v>
      </x:c>
      <x:c r="J6" s="15" t="n">
        <x:f>'假设'!J31</x:f>
        <x:v>8</x:v>
      </x:c>
      <x:c r="K6" s="15" t="n">
        <x:f>'假设'!K31</x:f>
        <x:v>10</x:v>
      </x:c>
      <x:c r="L6" s="15" t="n">
        <x:f>'假设'!L31</x:f>
        <x:v>12</x:v>
      </x:c>
      <x:c r="M6" s="15" t="n">
        <x:f>'假设'!M31</x:f>
        <x:v>14</x:v>
      </x:c>
      <x:c r="N6" s="15" t="n">
        <x:f>'假设'!N31</x:f>
        <x:v>16</x:v>
      </x:c>
      <x:c r="O6" s="15" t="n">
        <x:f>'假设'!O31</x:f>
        <x:v>18</x:v>
      </x:c>
      <x:c r="P6" s="15" t="n">
        <x:f>'假设'!P31</x:f>
        <x:v>20</x:v>
      </x:c>
      <x:c r="Q6" s="15" t="n">
        <x:f>'假设'!Q31</x:f>
        <x:v>20</x:v>
      </x:c>
      <x:c r="R6" s="15" t="n">
        <x:f>'假设'!R31</x:f>
        <x:v>22</x:v>
      </x:c>
      <x:c r="S6" s="15" t="n">
        <x:f>'假设'!S31</x:f>
        <x:v>22</x:v>
      </x:c>
      <x:c r="T6" s="15" t="n">
        <x:f>'假设'!T31</x:f>
        <x:v>24</x:v>
      </x:c>
      <x:c r="U6" s="15" t="n">
        <x:f>'假设'!U31</x:f>
        <x:v>24</x:v>
      </x:c>
      <x:c r="V6" s="15" t="n">
        <x:f>'假设'!V31</x:f>
        <x:v>24</x:v>
      </x:c>
      <x:c r="W6" s="15" t="n">
        <x:f>'假设'!W31</x:f>
        <x:v>26</x:v>
      </x:c>
      <x:c r="X6" s="15" t="n">
        <x:f>'假设'!X31</x:f>
        <x:v>26</x:v>
      </x:c>
      <x:c r="Y6" s="15" t="n">
        <x:f>'假设'!Y31</x:f>
        <x:v>26</x:v>
      </x:c>
      <x:c r="Z6" s="15" t="n">
        <x:f>'假设'!Z31</x:f>
        <x:v>28</x:v>
      </x:c>
      <x:c r="AA6" s="15" t="n">
        <x:f>'假设'!AA31</x:f>
        <x:v>28</x:v>
      </x:c>
      <x:c r="AB6" s="15" t="n">
        <x:f>'假设'!AB31</x:f>
        <x:v>28</x:v>
      </x:c>
      <x:c r="AC6" s="15" t="n">
        <x:f>'假设'!AC31</x:f>
        <x:v>30</x:v>
      </x:c>
      <x:c r="AD6" s="15" t="n">
        <x:f>'假设'!AD31</x:f>
        <x:v>30</x:v>
      </x:c>
      <x:c r="AE6" s="15" t="n">
        <x:f>'假设'!AE31</x:f>
        <x:v>30</x:v>
      </x:c>
      <x:c r="AF6" s="15" t="n">
        <x:f>'假设'!AF31</x:f>
        <x:v>30</x:v>
      </x:c>
      <x:c r="AG6" s="15" t="n">
        <x:f>'假设'!AG31</x:f>
        <x:v>30</x:v>
      </x:c>
      <x:c r="AH6" s="15" t="n">
        <x:f>'假设'!AH31</x:f>
        <x:v>30</x:v>
      </x:c>
      <x:c r="AI6" s="15" t="n">
        <x:f>'假设'!AI31</x:f>
        <x:v>30</x:v>
      </x:c>
      <x:c r="AJ6" s="15" t="n">
        <x:f>'假设'!AJ31</x:f>
        <x:v>30</x:v>
      </x:c>
      <x:c r="AK6" s="15" t="n">
        <x:f>'假设'!AK31</x:f>
        <x:v>30</x:v>
      </x:c>
      <x:c r="AL6" s="15" t="n">
        <x:f>'假设'!AL31</x:f>
        <x:v>30</x:v>
      </x:c>
      <x:c r="AM6" s="15" t="n">
        <x:f>'假设'!AM31</x:f>
        <x:v>30</x:v>
      </x:c>
      <x:c r="AN6" s="3"/>
    </x:row>
    <x:row r="7" ht="24" customHeight="1">
      <x:c r="A7" s="1"/>
      <x:c r="B7" s="1"/>
      <x:c r="C7" s="1" t="str">
        <x:v>活跃付费品牌（近似）</x:v>
      </x:c>
      <x:c r="D7" s="20" t="n">
        <x:f>D6/'假设'!$D$21</x:f>
        <x:v>0</x:v>
      </x:c>
      <x:c r="E7" s="20" t="n">
        <x:f>E6/'假设'!$D$21</x:f>
        <x:v>0</x:v>
      </x:c>
      <x:c r="F7" s="20" t="n">
        <x:f>F6/'假设'!$D$21</x:f>
        <x:v>0</x:v>
      </x:c>
      <x:c r="G7" s="20" t="n">
        <x:f>G6/'假设'!$D$21</x:f>
        <x:v>0</x:v>
      </x:c>
      <x:c r="H7" s="20" t="n">
        <x:f>H6/'假设'!$D$21</x:f>
        <x:v>2</x:v>
      </x:c>
      <x:c r="I7" s="20" t="n">
        <x:f>I6/'假设'!$D$21</x:f>
        <x:v>3</x:v>
      </x:c>
      <x:c r="J7" s="20" t="n">
        <x:f>J6/'假设'!$D$21</x:f>
        <x:v>4</x:v>
      </x:c>
      <x:c r="K7" s="20" t="n">
        <x:f>K6/'假设'!$D$21</x:f>
        <x:v>5</x:v>
      </x:c>
      <x:c r="L7" s="20" t="n">
        <x:f>L6/'假设'!$D$21</x:f>
        <x:v>6</x:v>
      </x:c>
      <x:c r="M7" s="20" t="n">
        <x:f>M6/'假设'!$D$21</x:f>
        <x:v>7</x:v>
      </x:c>
      <x:c r="N7" s="20" t="n">
        <x:f>N6/'假设'!$D$21</x:f>
        <x:v>8</x:v>
      </x:c>
      <x:c r="O7" s="20" t="n">
        <x:f>O6/'假设'!$D$21</x:f>
        <x:v>9</x:v>
      </x:c>
      <x:c r="P7" s="20" t="n">
        <x:f>P6/'假设'!$D$21</x:f>
        <x:v>10</x:v>
      </x:c>
      <x:c r="Q7" s="20" t="n">
        <x:f>Q6/'假设'!$D$21</x:f>
        <x:v>10</x:v>
      </x:c>
      <x:c r="R7" s="20" t="n">
        <x:f>R6/'假设'!$D$21</x:f>
        <x:v>11</x:v>
      </x:c>
      <x:c r="S7" s="20" t="n">
        <x:f>S6/'假设'!$D$21</x:f>
        <x:v>11</x:v>
      </x:c>
      <x:c r="T7" s="20" t="n">
        <x:f>T6/'假设'!$D$21</x:f>
        <x:v>12</x:v>
      </x:c>
      <x:c r="U7" s="20" t="n">
        <x:f>U6/'假设'!$D$21</x:f>
        <x:v>12</x:v>
      </x:c>
      <x:c r="V7" s="20" t="n">
        <x:f>V6/'假设'!$D$21</x:f>
        <x:v>12</x:v>
      </x:c>
      <x:c r="W7" s="20" t="n">
        <x:f>W6/'假设'!$D$21</x:f>
        <x:v>13</x:v>
      </x:c>
      <x:c r="X7" s="20" t="n">
        <x:f>X6/'假设'!$D$21</x:f>
        <x:v>13</x:v>
      </x:c>
      <x:c r="Y7" s="20" t="n">
        <x:f>Y6/'假设'!$D$21</x:f>
        <x:v>13</x:v>
      </x:c>
      <x:c r="Z7" s="20" t="n">
        <x:f>Z6/'假设'!$D$21</x:f>
        <x:v>14</x:v>
      </x:c>
      <x:c r="AA7" s="20" t="n">
        <x:f>AA6/'假设'!$D$21</x:f>
        <x:v>14</x:v>
      </x:c>
      <x:c r="AB7" s="20" t="n">
        <x:f>AB6/'假设'!$D$21</x:f>
        <x:v>14</x:v>
      </x:c>
      <x:c r="AC7" s="20" t="n">
        <x:f>AC6/'假设'!$D$21</x:f>
        <x:v>15</x:v>
      </x:c>
      <x:c r="AD7" s="20" t="n">
        <x:f>AD6/'假设'!$D$21</x:f>
        <x:v>15</x:v>
      </x:c>
      <x:c r="AE7" s="20" t="n">
        <x:f>AE6/'假设'!$D$21</x:f>
        <x:v>15</x:v>
      </x:c>
      <x:c r="AF7" s="20" t="n">
        <x:f>AF6/'假设'!$D$21</x:f>
        <x:v>15</x:v>
      </x:c>
      <x:c r="AG7" s="20" t="n">
        <x:f>AG6/'假设'!$D$21</x:f>
        <x:v>15</x:v>
      </x:c>
      <x:c r="AH7" s="20" t="n">
        <x:f>AH6/'假设'!$D$21</x:f>
        <x:v>15</x:v>
      </x:c>
      <x:c r="AI7" s="20" t="n">
        <x:f>AI6/'假设'!$D$21</x:f>
        <x:v>15</x:v>
      </x:c>
      <x:c r="AJ7" s="20" t="n">
        <x:f>AJ6/'假设'!$D$21</x:f>
        <x:v>15</x:v>
      </x:c>
      <x:c r="AK7" s="20" t="n">
        <x:f>AK6/'假设'!$D$21</x:f>
        <x:v>15</x:v>
      </x:c>
      <x:c r="AL7" s="20" t="n">
        <x:f>AL6/'假设'!$D$21</x:f>
        <x:v>15</x:v>
      </x:c>
      <x:c r="AM7" s="20" t="n">
        <x:f>AM6/'假设'!$D$21</x:f>
        <x:v>15</x:v>
      </x:c>
      <x:c r="AN7" s="3"/>
    </x:row>
    <x:row r="8" ht="24" customHeight="1">
      <x:c r="A8" s="1"/>
      <x:c r="B8" s="1"/>
      <x:c r="C8" s="1" t="str">
        <x:v>留存品牌</x:v>
      </x:c>
      <x:c r="D8" s="21" t="n">
        <x:f>0</x:f>
        <x:v>0</x:v>
      </x:c>
      <x:c r="E8" s="20" t="n">
        <x:f>MIN(E7,D7*(1-'假设'!$D$22))</x:f>
        <x:v>0</x:v>
      </x:c>
      <x:c r="F8" s="20" t="n">
        <x:f>MIN(F7,E7*(1-'假设'!$D$22))</x:f>
        <x:v>0</x:v>
      </x:c>
      <x:c r="G8" s="20" t="n">
        <x:f>MIN(G7,F7*(1-'假设'!$D$22))</x:f>
        <x:v>0</x:v>
      </x:c>
      <x:c r="H8" s="20" t="n">
        <x:f>MIN(H7,G7*(1-'假设'!$D$22))</x:f>
        <x:v>0</x:v>
      </x:c>
      <x:c r="I8" s="20" t="n">
        <x:f>MIN(I7,H7*(1-'假设'!$D$22))</x:f>
        <x:v>1.9</x:v>
      </x:c>
      <x:c r="J8" s="20" t="n">
        <x:f>MIN(J7,I7*(1-'假设'!$D$22))</x:f>
        <x:v>2.8499999999999996</x:v>
      </x:c>
      <x:c r="K8" s="20" t="n">
        <x:f>MIN(K7,J7*(1-'假设'!$D$22))</x:f>
        <x:v>3.8</x:v>
      </x:c>
      <x:c r="L8" s="20" t="n">
        <x:f>MIN(L7,K7*(1-'假设'!$D$22))</x:f>
        <x:v>4.75</x:v>
      </x:c>
      <x:c r="M8" s="20" t="n">
        <x:f>MIN(M7,L7*(1-'假设'!$D$22))</x:f>
        <x:v>5.699999999999999</x:v>
      </x:c>
      <x:c r="N8" s="20" t="n">
        <x:f>MIN(N7,M7*(1-'假设'!$D$22))</x:f>
        <x:v>6.6499999999999995</x:v>
      </x:c>
      <x:c r="O8" s="20" t="n">
        <x:f>MIN(O7,N7*(1-'假设'!$D$22))</x:f>
        <x:v>7.6</x:v>
      </x:c>
      <x:c r="P8" s="20" t="n">
        <x:f>MIN(P7,O7*(1-'假设'!$D$22))</x:f>
        <x:v>8.549999999999999</x:v>
      </x:c>
      <x:c r="Q8" s="20" t="n">
        <x:f>MIN(Q7,P7*(1-'假设'!$D$22))</x:f>
        <x:v>9.5</x:v>
      </x:c>
      <x:c r="R8" s="20" t="n">
        <x:f>MIN(R7,Q7*(1-'假设'!$D$22))</x:f>
        <x:v>9.5</x:v>
      </x:c>
      <x:c r="S8" s="20" t="n">
        <x:f>MIN(S7,R7*(1-'假设'!$D$22))</x:f>
        <x:v>10.45</x:v>
      </x:c>
      <x:c r="T8" s="20" t="n">
        <x:f>MIN(T7,S7*(1-'假设'!$D$22))</x:f>
        <x:v>10.45</x:v>
      </x:c>
      <x:c r="U8" s="20" t="n">
        <x:f>MIN(U7,T7*(1-'假设'!$D$22))</x:f>
        <x:v>11.399999999999999</x:v>
      </x:c>
      <x:c r="V8" s="20" t="n">
        <x:f>MIN(V7,U7*(1-'假设'!$D$22))</x:f>
        <x:v>11.399999999999999</x:v>
      </x:c>
      <x:c r="W8" s="20" t="n">
        <x:f>MIN(W7,V7*(1-'假设'!$D$22))</x:f>
        <x:v>11.399999999999999</x:v>
      </x:c>
      <x:c r="X8" s="20" t="n">
        <x:f>MIN(X7,W7*(1-'假设'!$D$22))</x:f>
        <x:v>12.35</x:v>
      </x:c>
      <x:c r="Y8" s="20" t="n">
        <x:f>MIN(Y7,X7*(1-'假设'!$D$22))</x:f>
        <x:v>12.35</x:v>
      </x:c>
      <x:c r="Z8" s="20" t="n">
        <x:f>MIN(Z7,Y7*(1-'假设'!$D$22))</x:f>
        <x:v>12.35</x:v>
      </x:c>
      <x:c r="AA8" s="20" t="n">
        <x:f>MIN(AA7,Z7*(1-'假设'!$D$22))</x:f>
        <x:v>13.299999999999999</x:v>
      </x:c>
      <x:c r="AB8" s="20" t="n">
        <x:f>MIN(AB7,AA7*(1-'假设'!$D$22))</x:f>
        <x:v>13.299999999999999</x:v>
      </x:c>
      <x:c r="AC8" s="20" t="n">
        <x:f>MIN(AC7,AB7*(1-'假设'!$D$22))</x:f>
        <x:v>13.299999999999999</x:v>
      </x:c>
      <x:c r="AD8" s="20" t="n">
        <x:f>MIN(AD7,AC7*(1-'假设'!$D$22))</x:f>
        <x:v>14.25</x:v>
      </x:c>
      <x:c r="AE8" s="20" t="n">
        <x:f>MIN(AE7,AD7*(1-'假设'!$D$22))</x:f>
        <x:v>14.25</x:v>
      </x:c>
      <x:c r="AF8" s="20" t="n">
        <x:f>MIN(AF7,AE7*(1-'假设'!$D$22))</x:f>
        <x:v>14.25</x:v>
      </x:c>
      <x:c r="AG8" s="20" t="n">
        <x:f>MIN(AG7,AF7*(1-'假设'!$D$22))</x:f>
        <x:v>14.25</x:v>
      </x:c>
      <x:c r="AH8" s="20" t="n">
        <x:f>MIN(AH7,AG7*(1-'假设'!$D$22))</x:f>
        <x:v>14.25</x:v>
      </x:c>
      <x:c r="AI8" s="20" t="n">
        <x:f>MIN(AI7,AH7*(1-'假设'!$D$22))</x:f>
        <x:v>14.25</x:v>
      </x:c>
      <x:c r="AJ8" s="20" t="n">
        <x:f>MIN(AJ7,AI7*(1-'假设'!$D$22))</x:f>
        <x:v>14.25</x:v>
      </x:c>
      <x:c r="AK8" s="20" t="n">
        <x:f>MIN(AK7,AJ7*(1-'假设'!$D$22))</x:f>
        <x:v>14.25</x:v>
      </x:c>
      <x:c r="AL8" s="20" t="n">
        <x:f>MIN(AL7,AK7*(1-'假设'!$D$22))</x:f>
        <x:v>14.25</x:v>
      </x:c>
      <x:c r="AM8" s="20" t="n">
        <x:f>MIN(AM7,AL7*(1-'假设'!$D$22))</x:f>
        <x:v>14.25</x:v>
      </x:c>
      <x:c r="AN8" s="3"/>
    </x:row>
    <x:row r="9" ht="24" customHeight="1">
      <x:c r="A9" s="1"/>
      <x:c r="B9" s="1"/>
      <x:c r="C9" s="1" t="str">
        <x:v>新增／替补品牌</x:v>
      </x:c>
      <x:c r="D9" s="21" t="n">
        <x:f>MAX(0,D7-D8)</x:f>
        <x:v>0</x:v>
      </x:c>
      <x:c r="E9" s="21" t="n">
        <x:f>MAX(0,E7-E8)</x:f>
        <x:v>0</x:v>
      </x:c>
      <x:c r="F9" s="21" t="n">
        <x:f>MAX(0,F7-F8)</x:f>
        <x:v>0</x:v>
      </x:c>
      <x:c r="G9" s="21" t="n">
        <x:f>MAX(0,G7-G8)</x:f>
        <x:v>0</x:v>
      </x:c>
      <x:c r="H9" s="21" t="n">
        <x:f>MAX(0,H7-H8)</x:f>
        <x:v>2</x:v>
      </x:c>
      <x:c r="I9" s="21" t="n">
        <x:f>MAX(0,I7-I8)</x:f>
        <x:v>1.1</x:v>
      </x:c>
      <x:c r="J9" s="21" t="n">
        <x:f>MAX(0,J7-J8)</x:f>
        <x:v>1.1500000000000004</x:v>
      </x:c>
      <x:c r="K9" s="21" t="n">
        <x:f>MAX(0,K7-K8)</x:f>
        <x:v>1.2000000000000002</x:v>
      </x:c>
      <x:c r="L9" s="21" t="n">
        <x:f>MAX(0,L7-L8)</x:f>
        <x:v>1.25</x:v>
      </x:c>
      <x:c r="M9" s="21" t="n">
        <x:f>MAX(0,M7-M8)</x:f>
        <x:v>1.3000000000000007</x:v>
      </x:c>
      <x:c r="N9" s="21" t="n">
        <x:f>MAX(0,N7-N8)</x:f>
        <x:v>1.3500000000000005</x:v>
      </x:c>
      <x:c r="O9" s="21" t="n">
        <x:f>MAX(0,O7-O8)</x:f>
        <x:v>1.4000000000000004</x:v>
      </x:c>
      <x:c r="P9" s="21" t="n">
        <x:f>MAX(0,P7-P8)</x:f>
        <x:v>1.450000000000001</x:v>
      </x:c>
      <x:c r="Q9" s="21" t="n">
        <x:f>MAX(0,Q7-Q8)</x:f>
        <x:v>0.5</x:v>
      </x:c>
      <x:c r="R9" s="21" t="n">
        <x:f>MAX(0,R7-R8)</x:f>
        <x:v>1.5</x:v>
      </x:c>
      <x:c r="S9" s="21" t="n">
        <x:f>MAX(0,S7-S8)</x:f>
        <x:v>0.5500000000000007</x:v>
      </x:c>
      <x:c r="T9" s="21" t="n">
        <x:f>MAX(0,T7-T8)</x:f>
        <x:v>1.5500000000000007</x:v>
      </x:c>
      <x:c r="U9" s="21" t="n">
        <x:f>MAX(0,U7-U8)</x:f>
        <x:v>0.6000000000000014</x:v>
      </x:c>
      <x:c r="V9" s="21" t="n">
        <x:f>MAX(0,V7-V8)</x:f>
        <x:v>0.6000000000000014</x:v>
      </x:c>
      <x:c r="W9" s="21" t="n">
        <x:f>MAX(0,W7-W8)</x:f>
        <x:v>1.6000000000000014</x:v>
      </x:c>
      <x:c r="X9" s="21" t="n">
        <x:f>MAX(0,X7-X8)</x:f>
        <x:v>0.6500000000000004</x:v>
      </x:c>
      <x:c r="Y9" s="21" t="n">
        <x:f>MAX(0,Y7-Y8)</x:f>
        <x:v>0.6500000000000004</x:v>
      </x:c>
      <x:c r="Z9" s="21" t="n">
        <x:f>MAX(0,Z7-Z8)</x:f>
        <x:v>1.6500000000000004</x:v>
      </x:c>
      <x:c r="AA9" s="21" t="n">
        <x:f>MAX(0,AA7-AA8)</x:f>
        <x:v>0.7000000000000011</x:v>
      </x:c>
      <x:c r="AB9" s="21" t="n">
        <x:f>MAX(0,AB7-AB8)</x:f>
        <x:v>0.7000000000000011</x:v>
      </x:c>
      <x:c r="AC9" s="21" t="n">
        <x:f>MAX(0,AC7-AC8)</x:f>
        <x:v>1.700000000000001</x:v>
      </x:c>
      <x:c r="AD9" s="21" t="n">
        <x:f>MAX(0,AD7-AD8)</x:f>
        <x:v>0.75</x:v>
      </x:c>
      <x:c r="AE9" s="21" t="n">
        <x:f>MAX(0,AE7-AE8)</x:f>
        <x:v>0.75</x:v>
      </x:c>
      <x:c r="AF9" s="21" t="n">
        <x:f>MAX(0,AF7-AF8)</x:f>
        <x:v>0.75</x:v>
      </x:c>
      <x:c r="AG9" s="21" t="n">
        <x:f>MAX(0,AG7-AG8)</x:f>
        <x:v>0.75</x:v>
      </x:c>
      <x:c r="AH9" s="21" t="n">
        <x:f>MAX(0,AH7-AH8)</x:f>
        <x:v>0.75</x:v>
      </x:c>
      <x:c r="AI9" s="21" t="n">
        <x:f>MAX(0,AI7-AI8)</x:f>
        <x:v>0.75</x:v>
      </x:c>
      <x:c r="AJ9" s="21" t="n">
        <x:f>MAX(0,AJ7-AJ8)</x:f>
        <x:v>0.75</x:v>
      </x:c>
      <x:c r="AK9" s="21" t="n">
        <x:f>MAX(0,AK7-AK8)</x:f>
        <x:v>0.75</x:v>
      </x:c>
      <x:c r="AL9" s="21" t="n">
        <x:f>MAX(0,AL7-AL8)</x:f>
        <x:v>0.75</x:v>
      </x:c>
      <x:c r="AM9" s="21" t="n">
        <x:f>MAX(0,AM7-AM8)</x:f>
        <x:v>0.75</x:v>
      </x:c>
      <x:c r="AN9" s="3"/>
    </x:row>
    <x:row r="10" ht="24" customHeight="1">
      <x:c r="A10" s="1"/>
      <x:c r="B10" s="1"/>
      <x:c r="C10" s="1" t="str">
        <x:v>独立品牌CAC现金支出</x:v>
      </x:c>
      <x:c r="D10" s="15" t="n">
        <x:f>IF(D$5&lt;='假设'!$D$25+1,0,D9*'假设'!$D$20)</x:f>
        <x:v>0</x:v>
      </x:c>
      <x:c r="E10" s="15" t="n">
        <x:f>IF(E$5&lt;='假设'!$D$25+1,0,E9*'假设'!$D$20)</x:f>
        <x:v>0</x:v>
      </x:c>
      <x:c r="F10" s="15" t="n">
        <x:f>IF(F$5&lt;='假设'!$D$25+1,0,F9*'假设'!$D$20)</x:f>
        <x:v>0</x:v>
      </x:c>
      <x:c r="G10" s="15" t="n">
        <x:f>IF(G$5&lt;='假设'!$D$25+1,0,G9*'假设'!$D$20)</x:f>
        <x:v>0</x:v>
      </x:c>
      <x:c r="H10" s="15" t="n">
        <x:f>IF(H$5&lt;='假设'!$D$25+1,0,H9*'假设'!$D$20)</x:f>
        <x:v>0</x:v>
      </x:c>
      <x:c r="I10" s="15" t="n">
        <x:f>IF(I$5&lt;='假设'!$D$25+1,0,I9*'假设'!$D$20)</x:f>
        <x:v>1650.0000000000002</x:v>
      </x:c>
      <x:c r="J10" s="15" t="n">
        <x:f>IF(J$5&lt;='假设'!$D$25+1,0,J9*'假设'!$D$20)</x:f>
        <x:v>1725.0000000000005</x:v>
      </x:c>
      <x:c r="K10" s="15" t="n">
        <x:f>IF(K$5&lt;='假设'!$D$25+1,0,K9*'假设'!$D$20)</x:f>
        <x:v>1800.0000000000002</x:v>
      </x:c>
      <x:c r="L10" s="15" t="n">
        <x:f>IF(L$5&lt;='假设'!$D$25+1,0,L9*'假设'!$D$20)</x:f>
        <x:v>1875</x:v>
      </x:c>
      <x:c r="M10" s="15" t="n">
        <x:f>IF(M$5&lt;='假设'!$D$25+1,0,M9*'假设'!$D$20)</x:f>
        <x:v>1950.0000000000011</x:v>
      </x:c>
      <x:c r="N10" s="15" t="n">
        <x:f>IF(N$5&lt;='假设'!$D$25+1,0,N9*'假设'!$D$20)</x:f>
        <x:v>2025.000000000001</x:v>
      </x:c>
      <x:c r="O10" s="15" t="n">
        <x:f>IF(O$5&lt;='假设'!$D$25+1,0,O9*'假设'!$D$20)</x:f>
        <x:v>2100.0000000000005</x:v>
      </x:c>
      <x:c r="P10" s="15" t="n">
        <x:f>IF(P$5&lt;='假设'!$D$25+1,0,P9*'假设'!$D$20)</x:f>
        <x:v>2175.000000000002</x:v>
      </x:c>
      <x:c r="Q10" s="15" t="n">
        <x:f>IF(Q$5&lt;='假设'!$D$25+1,0,Q9*'假设'!$D$20)</x:f>
        <x:v>750</x:v>
      </x:c>
      <x:c r="R10" s="15" t="n">
        <x:f>IF(R$5&lt;='假设'!$D$25+1,0,R9*'假设'!$D$20)</x:f>
        <x:v>2250</x:v>
      </x:c>
      <x:c r="S10" s="15" t="n">
        <x:f>IF(S$5&lt;='假设'!$D$25+1,0,S9*'假设'!$D$20)</x:f>
        <x:v>825.000000000001</x:v>
      </x:c>
      <x:c r="T10" s="15" t="n">
        <x:f>IF(T$5&lt;='假设'!$D$25+1,0,T9*'假设'!$D$20)</x:f>
        <x:v>2325.000000000001</x:v>
      </x:c>
      <x:c r="U10" s="15" t="n">
        <x:f>IF(U$5&lt;='假设'!$D$25+1,0,U9*'假设'!$D$20)</x:f>
        <x:v>900.0000000000022</x:v>
      </x:c>
      <x:c r="V10" s="15" t="n">
        <x:f>IF(V$5&lt;='假设'!$D$25+1,0,V9*'假设'!$D$20)</x:f>
        <x:v>900.0000000000022</x:v>
      </x:c>
      <x:c r="W10" s="15" t="n">
        <x:f>IF(W$5&lt;='假设'!$D$25+1,0,W9*'假设'!$D$20)</x:f>
        <x:v>2400.0000000000023</x:v>
      </x:c>
      <x:c r="X10" s="15" t="n">
        <x:f>IF(X$5&lt;='假设'!$D$25+1,0,X9*'假设'!$D$20)</x:f>
        <x:v>975.0000000000006</x:v>
      </x:c>
      <x:c r="Y10" s="15" t="n">
        <x:f>IF(Y$5&lt;='假设'!$D$25+1,0,Y9*'假设'!$D$20)</x:f>
        <x:v>975.0000000000006</x:v>
      </x:c>
      <x:c r="Z10" s="15" t="n">
        <x:f>IF(Z$5&lt;='假设'!$D$25+1,0,Z9*'假设'!$D$20)</x:f>
        <x:v>2475.0000000000005</x:v>
      </x:c>
      <x:c r="AA10" s="15" t="n">
        <x:f>IF(AA$5&lt;='假设'!$D$25+1,0,AA9*'假设'!$D$20)</x:f>
        <x:v>1050.0000000000016</x:v>
      </x:c>
      <x:c r="AB10" s="15" t="n">
        <x:f>IF(AB$5&lt;='假设'!$D$25+1,0,AB9*'假设'!$D$20)</x:f>
        <x:v>1050.0000000000016</x:v>
      </x:c>
      <x:c r="AC10" s="15" t="n">
        <x:f>IF(AC$5&lt;='假设'!$D$25+1,0,AC9*'假设'!$D$20)</x:f>
        <x:v>2550.000000000002</x:v>
      </x:c>
      <x:c r="AD10" s="15" t="n">
        <x:f>IF(AD$5&lt;='假设'!$D$25+1,0,AD9*'假设'!$D$20)</x:f>
        <x:v>1125</x:v>
      </x:c>
      <x:c r="AE10" s="15" t="n">
        <x:f>IF(AE$5&lt;='假设'!$D$25+1,0,AE9*'假设'!$D$20)</x:f>
        <x:v>1125</x:v>
      </x:c>
      <x:c r="AF10" s="15" t="n">
        <x:f>IF(AF$5&lt;='假设'!$D$25+1,0,AF9*'假设'!$D$20)</x:f>
        <x:v>1125</x:v>
      </x:c>
      <x:c r="AG10" s="15" t="n">
        <x:f>IF(AG$5&lt;='假设'!$D$25+1,0,AG9*'假设'!$D$20)</x:f>
        <x:v>1125</x:v>
      </x:c>
      <x:c r="AH10" s="15" t="n">
        <x:f>IF(AH$5&lt;='假设'!$D$25+1,0,AH9*'假设'!$D$20)</x:f>
        <x:v>1125</x:v>
      </x:c>
      <x:c r="AI10" s="15" t="n">
        <x:f>IF(AI$5&lt;='假设'!$D$25+1,0,AI9*'假设'!$D$20)</x:f>
        <x:v>1125</x:v>
      </x:c>
      <x:c r="AJ10" s="15" t="n">
        <x:f>IF(AJ$5&lt;='假设'!$D$25+1,0,AJ9*'假设'!$D$20)</x:f>
        <x:v>1125</x:v>
      </x:c>
      <x:c r="AK10" s="15" t="n">
        <x:f>IF(AK$5&lt;='假设'!$D$25+1,0,AK9*'假设'!$D$20)</x:f>
        <x:v>1125</x:v>
      </x:c>
      <x:c r="AL10" s="15" t="n">
        <x:f>IF(AL$5&lt;='假设'!$D$25+1,0,AL9*'假设'!$D$20)</x:f>
        <x:v>1125</x:v>
      </x:c>
      <x:c r="AM10" s="15" t="n">
        <x:f>IF(AM$5&lt;='假设'!$D$25+1,0,AM9*'假设'!$D$20)</x:f>
        <x:v>1125</x:v>
      </x:c>
      <x:c r="AN10" s="3"/>
    </x:row>
    <x:row r="11" ht="24" customHeight="1">
      <x:c r="A11" s="1"/>
      <x:c r="B11" s="1"/>
      <x:c r="C11" s="1" t="str">
        <x:v>合格播放需求</x:v>
      </x:c>
      <x:c r="D11" s="15" t="n">
        <x:f>D6*'单位经济'!$D$10</x:f>
        <x:v>0</x:v>
      </x:c>
      <x:c r="E11" s="15" t="n">
        <x:f>E6*'单位经济'!$D$10</x:f>
        <x:v>0</x:v>
      </x:c>
      <x:c r="F11" s="15" t="n">
        <x:f>F6*'单位经济'!$D$10</x:f>
        <x:v>0</x:v>
      </x:c>
      <x:c r="G11" s="15" t="n">
        <x:f>G6*'单位经济'!$D$10</x:f>
        <x:v>0</x:v>
      </x:c>
      <x:c r="H11" s="15" t="n">
        <x:f>H6*'单位经济'!$D$10</x:f>
        <x:v>8000000</x:v>
      </x:c>
      <x:c r="I11" s="15" t="n">
        <x:f>I6*'单位经济'!$D$10</x:f>
        <x:v>12000000</x:v>
      </x:c>
      <x:c r="J11" s="15" t="n">
        <x:f>J6*'单位经济'!$D$10</x:f>
        <x:v>16000000</x:v>
      </x:c>
      <x:c r="K11" s="15" t="n">
        <x:f>K6*'单位经济'!$D$10</x:f>
        <x:v>20000000</x:v>
      </x:c>
      <x:c r="L11" s="15" t="n">
        <x:f>L6*'单位经济'!$D$10</x:f>
        <x:v>24000000</x:v>
      </x:c>
      <x:c r="M11" s="15" t="n">
        <x:f>M6*'单位经济'!$D$10</x:f>
        <x:v>28000000</x:v>
      </x:c>
      <x:c r="N11" s="15" t="n">
        <x:f>N6*'单位经济'!$D$10</x:f>
        <x:v>32000000</x:v>
      </x:c>
      <x:c r="O11" s="15" t="n">
        <x:f>O6*'单位经济'!$D$10</x:f>
        <x:v>36000000</x:v>
      </x:c>
      <x:c r="P11" s="15" t="n">
        <x:f>P6*'单位经济'!$D$10</x:f>
        <x:v>40000000</x:v>
      </x:c>
      <x:c r="Q11" s="15" t="n">
        <x:f>Q6*'单位经济'!$D$10</x:f>
        <x:v>40000000</x:v>
      </x:c>
      <x:c r="R11" s="15" t="n">
        <x:f>R6*'单位经济'!$D$10</x:f>
        <x:v>44000000</x:v>
      </x:c>
      <x:c r="S11" s="15" t="n">
        <x:f>S6*'单位经济'!$D$10</x:f>
        <x:v>44000000</x:v>
      </x:c>
      <x:c r="T11" s="15" t="n">
        <x:f>T6*'单位经济'!$D$10</x:f>
        <x:v>48000000</x:v>
      </x:c>
      <x:c r="U11" s="15" t="n">
        <x:f>U6*'单位经济'!$D$10</x:f>
        <x:v>48000000</x:v>
      </x:c>
      <x:c r="V11" s="15" t="n">
        <x:f>V6*'单位经济'!$D$10</x:f>
        <x:v>48000000</x:v>
      </x:c>
      <x:c r="W11" s="15" t="n">
        <x:f>W6*'单位经济'!$D$10</x:f>
        <x:v>52000000</x:v>
      </x:c>
      <x:c r="X11" s="15" t="n">
        <x:f>X6*'单位经济'!$D$10</x:f>
        <x:v>52000000</x:v>
      </x:c>
      <x:c r="Y11" s="15" t="n">
        <x:f>Y6*'单位经济'!$D$10</x:f>
        <x:v>52000000</x:v>
      </x:c>
      <x:c r="Z11" s="15" t="n">
        <x:f>Z6*'单位经济'!$D$10</x:f>
        <x:v>56000000</x:v>
      </x:c>
      <x:c r="AA11" s="15" t="n">
        <x:f>AA6*'单位经济'!$D$10</x:f>
        <x:v>56000000</x:v>
      </x:c>
      <x:c r="AB11" s="15" t="n">
        <x:f>AB6*'单位经济'!$D$10</x:f>
        <x:v>56000000</x:v>
      </x:c>
      <x:c r="AC11" s="15" t="n">
        <x:f>AC6*'单位经济'!$D$10</x:f>
        <x:v>60000000</x:v>
      </x:c>
      <x:c r="AD11" s="15" t="n">
        <x:f>AD6*'单位经济'!$D$10</x:f>
        <x:v>60000000</x:v>
      </x:c>
      <x:c r="AE11" s="15" t="n">
        <x:f>AE6*'单位经济'!$D$10</x:f>
        <x:v>60000000</x:v>
      </x:c>
      <x:c r="AF11" s="15" t="n">
        <x:f>AF6*'单位经济'!$D$10</x:f>
        <x:v>60000000</x:v>
      </x:c>
      <x:c r="AG11" s="15" t="n">
        <x:f>AG6*'单位经济'!$D$10</x:f>
        <x:v>60000000</x:v>
      </x:c>
      <x:c r="AH11" s="15" t="n">
        <x:f>AH6*'单位经济'!$D$10</x:f>
        <x:v>60000000</x:v>
      </x:c>
      <x:c r="AI11" s="15" t="n">
        <x:f>AI6*'单位经济'!$D$10</x:f>
        <x:v>60000000</x:v>
      </x:c>
      <x:c r="AJ11" s="15" t="n">
        <x:f>AJ6*'单位经济'!$D$10</x:f>
        <x:v>60000000</x:v>
      </x:c>
      <x:c r="AK11" s="15" t="n">
        <x:f>AK6*'单位经济'!$D$10</x:f>
        <x:v>60000000</x:v>
      </x:c>
      <x:c r="AL11" s="15" t="n">
        <x:f>AL6*'单位经济'!$D$10</x:f>
        <x:v>60000000</x:v>
      </x:c>
      <x:c r="AM11" s="15" t="n">
        <x:f>AM6*'单位经济'!$D$10</x:f>
        <x:v>60000000</x:v>
      </x:c>
      <x:c r="AN11" s="3"/>
    </x:row>
    <x:row r="12" ht="24" customHeight="1">
      <x:c r="A12" s="1"/>
      <x:c r="B12" s="1"/>
      <x:c r="C12" s="1" t="str">
        <x:v>创作者奖励代转（非收入）</x:v>
      </x:c>
      <x:c r="D12" s="15" t="n">
        <x:f>D6*'假设'!$D$6</x:f>
        <x:v>0</x:v>
      </x:c>
      <x:c r="E12" s="15" t="n">
        <x:f>E6*'假设'!$D$6</x:f>
        <x:v>0</x:v>
      </x:c>
      <x:c r="F12" s="15" t="n">
        <x:f>F6*'假设'!$D$6</x:f>
        <x:v>0</x:v>
      </x:c>
      <x:c r="G12" s="15" t="n">
        <x:f>G6*'假设'!$D$6</x:f>
        <x:v>0</x:v>
      </x:c>
      <x:c r="H12" s="15" t="n">
        <x:f>H6*'假设'!$D$6</x:f>
        <x:v>40000</x:v>
      </x:c>
      <x:c r="I12" s="15" t="n">
        <x:f>I6*'假设'!$D$6</x:f>
        <x:v>60000</x:v>
      </x:c>
      <x:c r="J12" s="15" t="n">
        <x:f>J6*'假设'!$D$6</x:f>
        <x:v>80000</x:v>
      </x:c>
      <x:c r="K12" s="15" t="n">
        <x:f>K6*'假设'!$D$6</x:f>
        <x:v>100000</x:v>
      </x:c>
      <x:c r="L12" s="15" t="n">
        <x:f>L6*'假设'!$D$6</x:f>
        <x:v>120000</x:v>
      </x:c>
      <x:c r="M12" s="15" t="n">
        <x:f>M6*'假设'!$D$6</x:f>
        <x:v>140000</x:v>
      </x:c>
      <x:c r="N12" s="15" t="n">
        <x:f>N6*'假设'!$D$6</x:f>
        <x:v>160000</x:v>
      </x:c>
      <x:c r="O12" s="15" t="n">
        <x:f>O6*'假设'!$D$6</x:f>
        <x:v>180000</x:v>
      </x:c>
      <x:c r="P12" s="15" t="n">
        <x:f>P6*'假设'!$D$6</x:f>
        <x:v>200000</x:v>
      </x:c>
      <x:c r="Q12" s="15" t="n">
        <x:f>Q6*'假设'!$D$6</x:f>
        <x:v>200000</x:v>
      </x:c>
      <x:c r="R12" s="15" t="n">
        <x:f>R6*'假设'!$D$6</x:f>
        <x:v>220000</x:v>
      </x:c>
      <x:c r="S12" s="15" t="n">
        <x:f>S6*'假设'!$D$6</x:f>
        <x:v>220000</x:v>
      </x:c>
      <x:c r="T12" s="15" t="n">
        <x:f>T6*'假设'!$D$6</x:f>
        <x:v>240000</x:v>
      </x:c>
      <x:c r="U12" s="15" t="n">
        <x:f>U6*'假设'!$D$6</x:f>
        <x:v>240000</x:v>
      </x:c>
      <x:c r="V12" s="15" t="n">
        <x:f>V6*'假设'!$D$6</x:f>
        <x:v>240000</x:v>
      </x:c>
      <x:c r="W12" s="15" t="n">
        <x:f>W6*'假设'!$D$6</x:f>
        <x:v>260000</x:v>
      </x:c>
      <x:c r="X12" s="15" t="n">
        <x:f>X6*'假设'!$D$6</x:f>
        <x:v>260000</x:v>
      </x:c>
      <x:c r="Y12" s="15" t="n">
        <x:f>Y6*'假设'!$D$6</x:f>
        <x:v>260000</x:v>
      </x:c>
      <x:c r="Z12" s="15" t="n">
        <x:f>Z6*'假设'!$D$6</x:f>
        <x:v>280000</x:v>
      </x:c>
      <x:c r="AA12" s="15" t="n">
        <x:f>AA6*'假设'!$D$6</x:f>
        <x:v>280000</x:v>
      </x:c>
      <x:c r="AB12" s="15" t="n">
        <x:f>AB6*'假设'!$D$6</x:f>
        <x:v>280000</x:v>
      </x:c>
      <x:c r="AC12" s="15" t="n">
        <x:f>AC6*'假设'!$D$6</x:f>
        <x:v>300000</x:v>
      </x:c>
      <x:c r="AD12" s="15" t="n">
        <x:f>AD6*'假设'!$D$6</x:f>
        <x:v>300000</x:v>
      </x:c>
      <x:c r="AE12" s="15" t="n">
        <x:f>AE6*'假设'!$D$6</x:f>
        <x:v>300000</x:v>
      </x:c>
      <x:c r="AF12" s="15" t="n">
        <x:f>AF6*'假设'!$D$6</x:f>
        <x:v>300000</x:v>
      </x:c>
      <x:c r="AG12" s="15" t="n">
        <x:f>AG6*'假设'!$D$6</x:f>
        <x:v>300000</x:v>
      </x:c>
      <x:c r="AH12" s="15" t="n">
        <x:f>AH6*'假设'!$D$6</x:f>
        <x:v>300000</x:v>
      </x:c>
      <x:c r="AI12" s="15" t="n">
        <x:f>AI6*'假设'!$D$6</x:f>
        <x:v>300000</x:v>
      </x:c>
      <x:c r="AJ12" s="15" t="n">
        <x:f>AJ6*'假设'!$D$6</x:f>
        <x:v>300000</x:v>
      </x:c>
      <x:c r="AK12" s="15" t="n">
        <x:f>AK6*'假设'!$D$6</x:f>
        <x:v>300000</x:v>
      </x:c>
      <x:c r="AL12" s="15" t="n">
        <x:f>AL6*'假设'!$D$6</x:f>
        <x:v>300000</x:v>
      </x:c>
      <x:c r="AM12" s="15" t="n">
        <x:f>AM6*'假设'!$D$6</x:f>
        <x:v>300000</x:v>
      </x:c>
      <x:c r="AN12" s="3"/>
    </x:row>
    <x:row r="13" ht="24" customHeight="1">
      <x:c r="A13" s="1"/>
      <x:c r="B13" s="1"/>
      <x:c r="C13" s="1" t="str">
        <x:v>品牌总支出（未税）</x:v>
      </x:c>
      <x:c r="D13" s="2" t="n">
        <x:f>D12+D14</x:f>
        <x:v>0</x:v>
      </x:c>
      <x:c r="E13" s="2" t="n">
        <x:f>E12+E14</x:f>
        <x:v>0</x:v>
      </x:c>
      <x:c r="F13" s="2" t="n">
        <x:f>F12+F14</x:f>
        <x:v>0</x:v>
      </x:c>
      <x:c r="G13" s="2" t="n">
        <x:f>G12+G14</x:f>
        <x:v>0</x:v>
      </x:c>
      <x:c r="H13" s="2" t="n">
        <x:f>H12+H14</x:f>
        <x:v>46000</x:v>
      </x:c>
      <x:c r="I13" s="2" t="n">
        <x:f>I12+I14</x:f>
        <x:v>69000</x:v>
      </x:c>
      <x:c r="J13" s="2" t="n">
        <x:f>J12+J14</x:f>
        <x:v>92000</x:v>
      </x:c>
      <x:c r="K13" s="2" t="n">
        <x:f>K12+K14</x:f>
        <x:v>115000</x:v>
      </x:c>
      <x:c r="L13" s="2" t="n">
        <x:f>L12+L14</x:f>
        <x:v>138000</x:v>
      </x:c>
      <x:c r="M13" s="2" t="n">
        <x:f>M12+M14</x:f>
        <x:v>161000</x:v>
      </x:c>
      <x:c r="N13" s="2" t="n">
        <x:f>N12+N14</x:f>
        <x:v>184000</x:v>
      </x:c>
      <x:c r="O13" s="2" t="n">
        <x:f>O12+O14</x:f>
        <x:v>207000</x:v>
      </x:c>
      <x:c r="P13" s="2" t="n">
        <x:f>P12+P14</x:f>
        <x:v>230000</x:v>
      </x:c>
      <x:c r="Q13" s="2" t="n">
        <x:f>Q12+Q14</x:f>
        <x:v>230000</x:v>
      </x:c>
      <x:c r="R13" s="2" t="n">
        <x:f>R12+R14</x:f>
        <x:v>253000</x:v>
      </x:c>
      <x:c r="S13" s="2" t="n">
        <x:f>S12+S14</x:f>
        <x:v>253000</x:v>
      </x:c>
      <x:c r="T13" s="2" t="n">
        <x:f>T12+T14</x:f>
        <x:v>276000</x:v>
      </x:c>
      <x:c r="U13" s="2" t="n">
        <x:f>U12+U14</x:f>
        <x:v>276000</x:v>
      </x:c>
      <x:c r="V13" s="2" t="n">
        <x:f>V12+V14</x:f>
        <x:v>276000</x:v>
      </x:c>
      <x:c r="W13" s="2" t="n">
        <x:f>W12+W14</x:f>
        <x:v>299000</x:v>
      </x:c>
      <x:c r="X13" s="2" t="n">
        <x:f>X12+X14</x:f>
        <x:v>299000</x:v>
      </x:c>
      <x:c r="Y13" s="2" t="n">
        <x:f>Y12+Y14</x:f>
        <x:v>299000</x:v>
      </x:c>
      <x:c r="Z13" s="2" t="n">
        <x:f>Z12+Z14</x:f>
        <x:v>322000</x:v>
      </x:c>
      <x:c r="AA13" s="2" t="n">
        <x:f>AA12+AA14</x:f>
        <x:v>322000</x:v>
      </x:c>
      <x:c r="AB13" s="2" t="n">
        <x:f>AB12+AB14</x:f>
        <x:v>322000</x:v>
      </x:c>
      <x:c r="AC13" s="2" t="n">
        <x:f>AC12+AC14</x:f>
        <x:v>345000</x:v>
      </x:c>
      <x:c r="AD13" s="2" t="n">
        <x:f>AD12+AD14</x:f>
        <x:v>345000</x:v>
      </x:c>
      <x:c r="AE13" s="2" t="n">
        <x:f>AE12+AE14</x:f>
        <x:v>345000</x:v>
      </x:c>
      <x:c r="AF13" s="2" t="n">
        <x:f>AF12+AF14</x:f>
        <x:v>345000</x:v>
      </x:c>
      <x:c r="AG13" s="2" t="n">
        <x:f>AG12+AG14</x:f>
        <x:v>345000</x:v>
      </x:c>
      <x:c r="AH13" s="2" t="n">
        <x:f>AH12+AH14</x:f>
        <x:v>345000</x:v>
      </x:c>
      <x:c r="AI13" s="2" t="n">
        <x:f>AI12+AI14</x:f>
        <x:v>345000</x:v>
      </x:c>
      <x:c r="AJ13" s="2" t="n">
        <x:f>AJ12+AJ14</x:f>
        <x:v>345000</x:v>
      </x:c>
      <x:c r="AK13" s="2" t="n">
        <x:f>AK12+AK14</x:f>
        <x:v>345000</x:v>
      </x:c>
      <x:c r="AL13" s="2" t="n">
        <x:f>AL12+AL14</x:f>
        <x:v>345000</x:v>
      </x:c>
      <x:c r="AM13" s="2" t="n">
        <x:f>AM12+AM14</x:f>
        <x:v>345000</x:v>
      </x:c>
      <x:c r="AN13" s="3"/>
    </x:row>
    <x:row r="14" ht="24" customHeight="1">
      <x:c r="A14" s="1"/>
      <x:c r="B14" s="1"/>
      <x:c r="C14" s="22" t="str">
        <x:v>平台服务收入</x:v>
      </x:c>
      <x:c r="D14" s="23" t="n">
        <x:f>D6*'单位经济'!$D$6</x:f>
        <x:v>0</x:v>
      </x:c>
      <x:c r="E14" s="23" t="n">
        <x:f>E6*'单位经济'!$D$6</x:f>
        <x:v>0</x:v>
      </x:c>
      <x:c r="F14" s="23" t="n">
        <x:f>F6*'单位经济'!$D$6</x:f>
        <x:v>0</x:v>
      </x:c>
      <x:c r="G14" s="23" t="n">
        <x:f>G6*'单位经济'!$D$6</x:f>
        <x:v>0</x:v>
      </x:c>
      <x:c r="H14" s="23" t="n">
        <x:f>H6*'单位经济'!$D$6</x:f>
        <x:v>6000</x:v>
      </x:c>
      <x:c r="I14" s="23" t="n">
        <x:f>I6*'单位经济'!$D$6</x:f>
        <x:v>9000</x:v>
      </x:c>
      <x:c r="J14" s="23" t="n">
        <x:f>J6*'单位经济'!$D$6</x:f>
        <x:v>12000</x:v>
      </x:c>
      <x:c r="K14" s="23" t="n">
        <x:f>K6*'单位经济'!$D$6</x:f>
        <x:v>15000</x:v>
      </x:c>
      <x:c r="L14" s="23" t="n">
        <x:f>L6*'单位经济'!$D$6</x:f>
        <x:v>18000</x:v>
      </x:c>
      <x:c r="M14" s="23" t="n">
        <x:f>M6*'单位经济'!$D$6</x:f>
        <x:v>21000</x:v>
      </x:c>
      <x:c r="N14" s="23" t="n">
        <x:f>N6*'单位经济'!$D$6</x:f>
        <x:v>24000</x:v>
      </x:c>
      <x:c r="O14" s="23" t="n">
        <x:f>O6*'单位经济'!$D$6</x:f>
        <x:v>27000</x:v>
      </x:c>
      <x:c r="P14" s="23" t="n">
        <x:f>P6*'单位经济'!$D$6</x:f>
        <x:v>30000</x:v>
      </x:c>
      <x:c r="Q14" s="23" t="n">
        <x:f>Q6*'单位经济'!$D$6</x:f>
        <x:v>30000</x:v>
      </x:c>
      <x:c r="R14" s="23" t="n">
        <x:f>R6*'单位经济'!$D$6</x:f>
        <x:v>33000</x:v>
      </x:c>
      <x:c r="S14" s="23" t="n">
        <x:f>S6*'单位经济'!$D$6</x:f>
        <x:v>33000</x:v>
      </x:c>
      <x:c r="T14" s="23" t="n">
        <x:f>T6*'单位经济'!$D$6</x:f>
        <x:v>36000</x:v>
      </x:c>
      <x:c r="U14" s="23" t="n">
        <x:f>U6*'单位经济'!$D$6</x:f>
        <x:v>36000</x:v>
      </x:c>
      <x:c r="V14" s="23" t="n">
        <x:f>V6*'单位经济'!$D$6</x:f>
        <x:v>36000</x:v>
      </x:c>
      <x:c r="W14" s="23" t="n">
        <x:f>W6*'单位经济'!$D$6</x:f>
        <x:v>39000</x:v>
      </x:c>
      <x:c r="X14" s="23" t="n">
        <x:f>X6*'单位经济'!$D$6</x:f>
        <x:v>39000</x:v>
      </x:c>
      <x:c r="Y14" s="23" t="n">
        <x:f>Y6*'单位经济'!$D$6</x:f>
        <x:v>39000</x:v>
      </x:c>
      <x:c r="Z14" s="23" t="n">
        <x:f>Z6*'单位经济'!$D$6</x:f>
        <x:v>42000</x:v>
      </x:c>
      <x:c r="AA14" s="23" t="n">
        <x:f>AA6*'单位经济'!$D$6</x:f>
        <x:v>42000</x:v>
      </x:c>
      <x:c r="AB14" s="23" t="n">
        <x:f>AB6*'单位经济'!$D$6</x:f>
        <x:v>42000</x:v>
      </x:c>
      <x:c r="AC14" s="23" t="n">
        <x:f>AC6*'单位经济'!$D$6</x:f>
        <x:v>45000</x:v>
      </x:c>
      <x:c r="AD14" s="23" t="n">
        <x:f>AD6*'单位经济'!$D$6</x:f>
        <x:v>45000</x:v>
      </x:c>
      <x:c r="AE14" s="23" t="n">
        <x:f>AE6*'单位经济'!$D$6</x:f>
        <x:v>45000</x:v>
      </x:c>
      <x:c r="AF14" s="23" t="n">
        <x:f>AF6*'单位经济'!$D$6</x:f>
        <x:v>45000</x:v>
      </x:c>
      <x:c r="AG14" s="23" t="n">
        <x:f>AG6*'单位经济'!$D$6</x:f>
        <x:v>45000</x:v>
      </x:c>
      <x:c r="AH14" s="23" t="n">
        <x:f>AH6*'单位经济'!$D$6</x:f>
        <x:v>45000</x:v>
      </x:c>
      <x:c r="AI14" s="23" t="n">
        <x:f>AI6*'单位经济'!$D$6</x:f>
        <x:v>45000</x:v>
      </x:c>
      <x:c r="AJ14" s="23" t="n">
        <x:f>AJ6*'单位经济'!$D$6</x:f>
        <x:v>45000</x:v>
      </x:c>
      <x:c r="AK14" s="23" t="n">
        <x:f>AK6*'单位经济'!$D$6</x:f>
        <x:v>45000</x:v>
      </x:c>
      <x:c r="AL14" s="23" t="n">
        <x:f>AL6*'单位经济'!$D$6</x:f>
        <x:v>45000</x:v>
      </x:c>
      <x:c r="AM14" s="23" t="n">
        <x:f>AM6*'单位经济'!$D$6</x:f>
        <x:v>45000</x:v>
      </x:c>
      <x:c r="AN14" s="3"/>
    </x:row>
    <x:row r="15" ht="24" customHeight="1">
      <x:c r="A15" s="1"/>
      <x:c r="B15" s="1"/>
      <x:c r="C15" s="1" t="str">
        <x:v>可变履约成本</x:v>
      </x:c>
      <x:c r="D15" s="15" t="n">
        <x:f>D6*'单位经济'!$D$11</x:f>
        <x:v>0</x:v>
      </x:c>
      <x:c r="E15" s="15" t="n">
        <x:f>E6*'单位经济'!$D$11</x:f>
        <x:v>0</x:v>
      </x:c>
      <x:c r="F15" s="15" t="n">
        <x:f>F6*'单位经济'!$D$11</x:f>
        <x:v>0</x:v>
      </x:c>
      <x:c r="G15" s="15" t="n">
        <x:f>G6*'单位经济'!$D$11</x:f>
        <x:v>0</x:v>
      </x:c>
      <x:c r="H15" s="15" t="n">
        <x:f>H6*'单位经济'!$D$11</x:f>
        <x:v>2400</x:v>
      </x:c>
      <x:c r="I15" s="15" t="n">
        <x:f>I6*'单位经济'!$D$11</x:f>
        <x:v>3600</x:v>
      </x:c>
      <x:c r="J15" s="15" t="n">
        <x:f>J6*'单位经济'!$D$11</x:f>
        <x:v>4800</x:v>
      </x:c>
      <x:c r="K15" s="15" t="n">
        <x:f>K6*'单位经济'!$D$11</x:f>
        <x:v>6000</x:v>
      </x:c>
      <x:c r="L15" s="15" t="n">
        <x:f>L6*'单位经济'!$D$11</x:f>
        <x:v>7200</x:v>
      </x:c>
      <x:c r="M15" s="15" t="n">
        <x:f>M6*'单位经济'!$D$11</x:f>
        <x:v>8400</x:v>
      </x:c>
      <x:c r="N15" s="15" t="n">
        <x:f>N6*'单位经济'!$D$11</x:f>
        <x:v>9600</x:v>
      </x:c>
      <x:c r="O15" s="15" t="n">
        <x:f>O6*'单位经济'!$D$11</x:f>
        <x:v>10800</x:v>
      </x:c>
      <x:c r="P15" s="15" t="n">
        <x:f>P6*'单位经济'!$D$11</x:f>
        <x:v>12000</x:v>
      </x:c>
      <x:c r="Q15" s="15" t="n">
        <x:f>Q6*'单位经济'!$D$11</x:f>
        <x:v>12000</x:v>
      </x:c>
      <x:c r="R15" s="15" t="n">
        <x:f>R6*'单位经济'!$D$11</x:f>
        <x:v>13200</x:v>
      </x:c>
      <x:c r="S15" s="15" t="n">
        <x:f>S6*'单位经济'!$D$11</x:f>
        <x:v>13200</x:v>
      </x:c>
      <x:c r="T15" s="15" t="n">
        <x:f>T6*'单位经济'!$D$11</x:f>
        <x:v>14400</x:v>
      </x:c>
      <x:c r="U15" s="15" t="n">
        <x:f>U6*'单位经济'!$D$11</x:f>
        <x:v>14400</x:v>
      </x:c>
      <x:c r="V15" s="15" t="n">
        <x:f>V6*'单位经济'!$D$11</x:f>
        <x:v>14400</x:v>
      </x:c>
      <x:c r="W15" s="15" t="n">
        <x:f>W6*'单位经济'!$D$11</x:f>
        <x:v>15600</x:v>
      </x:c>
      <x:c r="X15" s="15" t="n">
        <x:f>X6*'单位经济'!$D$11</x:f>
        <x:v>15600</x:v>
      </x:c>
      <x:c r="Y15" s="15" t="n">
        <x:f>Y6*'单位经济'!$D$11</x:f>
        <x:v>15600</x:v>
      </x:c>
      <x:c r="Z15" s="15" t="n">
        <x:f>Z6*'单位经济'!$D$11</x:f>
        <x:v>16800</x:v>
      </x:c>
      <x:c r="AA15" s="15" t="n">
        <x:f>AA6*'单位经济'!$D$11</x:f>
        <x:v>16800</x:v>
      </x:c>
      <x:c r="AB15" s="15" t="n">
        <x:f>AB6*'单位经济'!$D$11</x:f>
        <x:v>16800</x:v>
      </x:c>
      <x:c r="AC15" s="15" t="n">
        <x:f>AC6*'单位经济'!$D$11</x:f>
        <x:v>18000</x:v>
      </x:c>
      <x:c r="AD15" s="15" t="n">
        <x:f>AD6*'单位经济'!$D$11</x:f>
        <x:v>18000</x:v>
      </x:c>
      <x:c r="AE15" s="15" t="n">
        <x:f>AE6*'单位经济'!$D$11</x:f>
        <x:v>18000</x:v>
      </x:c>
      <x:c r="AF15" s="15" t="n">
        <x:f>AF6*'单位经济'!$D$11</x:f>
        <x:v>18000</x:v>
      </x:c>
      <x:c r="AG15" s="15" t="n">
        <x:f>AG6*'单位经济'!$D$11</x:f>
        <x:v>18000</x:v>
      </x:c>
      <x:c r="AH15" s="15" t="n">
        <x:f>AH6*'单位经济'!$D$11</x:f>
        <x:v>18000</x:v>
      </x:c>
      <x:c r="AI15" s="15" t="n">
        <x:f>AI6*'单位经济'!$D$11</x:f>
        <x:v>18000</x:v>
      </x:c>
      <x:c r="AJ15" s="15" t="n">
        <x:f>AJ6*'单位经济'!$D$11</x:f>
        <x:v>18000</x:v>
      </x:c>
      <x:c r="AK15" s="15" t="n">
        <x:f>AK6*'单位经济'!$D$11</x:f>
        <x:v>18000</x:v>
      </x:c>
      <x:c r="AL15" s="15" t="n">
        <x:f>AL6*'单位经济'!$D$11</x:f>
        <x:v>18000</x:v>
      </x:c>
      <x:c r="AM15" s="15" t="n">
        <x:f>AM6*'单位经济'!$D$11</x:f>
        <x:v>18000</x:v>
      </x:c>
      <x:c r="AN15" s="3"/>
    </x:row>
    <x:row r="16" ht="24" customHeight="1">
      <x:c r="A16" s="1"/>
      <x:c r="B16" s="1"/>
      <x:c r="C16" s="1" t="str">
        <x:v>固定履约成本</x:v>
      </x:c>
      <x:c r="D16" s="15" t="n">
        <x:f>IF(D$5&gt;'假设'!$D$25,'假设'!$D$14,0)</x:f>
        <x:v>0</x:v>
      </x:c>
      <x:c r="E16" s="15" t="n">
        <x:f>IF(E$5&gt;'假设'!$D$25,'假设'!$D$14,0)</x:f>
        <x:v>0</x:v>
      </x:c>
      <x:c r="F16" s="15" t="n">
        <x:f>IF(F$5&gt;'假设'!$D$25,'假设'!$D$14,0)</x:f>
        <x:v>0</x:v>
      </x:c>
      <x:c r="G16" s="15" t="n">
        <x:f>IF(G$5&gt;'假设'!$D$25,'假设'!$D$14,0)</x:f>
        <x:v>0</x:v>
      </x:c>
      <x:c r="H16" s="15" t="n">
        <x:f>IF(H$5&gt;'假设'!$D$25,'假设'!$D$14,0)</x:f>
        <x:v>2000</x:v>
      </x:c>
      <x:c r="I16" s="15" t="n">
        <x:f>IF(I$5&gt;'假设'!$D$25,'假设'!$D$14,0)</x:f>
        <x:v>2000</x:v>
      </x:c>
      <x:c r="J16" s="15" t="n">
        <x:f>IF(J$5&gt;'假设'!$D$25,'假设'!$D$14,0)</x:f>
        <x:v>2000</x:v>
      </x:c>
      <x:c r="K16" s="15" t="n">
        <x:f>IF(K$5&gt;'假设'!$D$25,'假设'!$D$14,0)</x:f>
        <x:v>2000</x:v>
      </x:c>
      <x:c r="L16" s="15" t="n">
        <x:f>IF(L$5&gt;'假设'!$D$25,'假设'!$D$14,0)</x:f>
        <x:v>2000</x:v>
      </x:c>
      <x:c r="M16" s="15" t="n">
        <x:f>IF(M$5&gt;'假设'!$D$25,'假设'!$D$14,0)</x:f>
        <x:v>2000</x:v>
      </x:c>
      <x:c r="N16" s="15" t="n">
        <x:f>IF(N$5&gt;'假设'!$D$25,'假设'!$D$14,0)</x:f>
        <x:v>2000</x:v>
      </x:c>
      <x:c r="O16" s="15" t="n">
        <x:f>IF(O$5&gt;'假设'!$D$25,'假设'!$D$14,0)</x:f>
        <x:v>2000</x:v>
      </x:c>
      <x:c r="P16" s="15" t="n">
        <x:f>IF(P$5&gt;'假设'!$D$25,'假设'!$D$14,0)</x:f>
        <x:v>2000</x:v>
      </x:c>
      <x:c r="Q16" s="15" t="n">
        <x:f>IF(Q$5&gt;'假设'!$D$25,'假设'!$D$14,0)</x:f>
        <x:v>2000</x:v>
      </x:c>
      <x:c r="R16" s="15" t="n">
        <x:f>IF(R$5&gt;'假设'!$D$25,'假设'!$D$14,0)</x:f>
        <x:v>2000</x:v>
      </x:c>
      <x:c r="S16" s="15" t="n">
        <x:f>IF(S$5&gt;'假设'!$D$25,'假设'!$D$14,0)</x:f>
        <x:v>2000</x:v>
      </x:c>
      <x:c r="T16" s="15" t="n">
        <x:f>IF(T$5&gt;'假设'!$D$25,'假设'!$D$14,0)</x:f>
        <x:v>2000</x:v>
      </x:c>
      <x:c r="U16" s="15" t="n">
        <x:f>IF(U$5&gt;'假设'!$D$25,'假设'!$D$14,0)</x:f>
        <x:v>2000</x:v>
      </x:c>
      <x:c r="V16" s="15" t="n">
        <x:f>IF(V$5&gt;'假设'!$D$25,'假设'!$D$14,0)</x:f>
        <x:v>2000</x:v>
      </x:c>
      <x:c r="W16" s="15" t="n">
        <x:f>IF(W$5&gt;'假设'!$D$25,'假设'!$D$14,0)</x:f>
        <x:v>2000</x:v>
      </x:c>
      <x:c r="X16" s="15" t="n">
        <x:f>IF(X$5&gt;'假设'!$D$25,'假设'!$D$14,0)</x:f>
        <x:v>2000</x:v>
      </x:c>
      <x:c r="Y16" s="15" t="n">
        <x:f>IF(Y$5&gt;'假设'!$D$25,'假设'!$D$14,0)</x:f>
        <x:v>2000</x:v>
      </x:c>
      <x:c r="Z16" s="15" t="n">
        <x:f>IF(Z$5&gt;'假设'!$D$25,'假设'!$D$14,0)</x:f>
        <x:v>2000</x:v>
      </x:c>
      <x:c r="AA16" s="15" t="n">
        <x:f>IF(AA$5&gt;'假设'!$D$25,'假设'!$D$14,0)</x:f>
        <x:v>2000</x:v>
      </x:c>
      <x:c r="AB16" s="15" t="n">
        <x:f>IF(AB$5&gt;'假设'!$D$25,'假设'!$D$14,0)</x:f>
        <x:v>2000</x:v>
      </x:c>
      <x:c r="AC16" s="15" t="n">
        <x:f>IF(AC$5&gt;'假设'!$D$25,'假设'!$D$14,0)</x:f>
        <x:v>2000</x:v>
      </x:c>
      <x:c r="AD16" s="15" t="n">
        <x:f>IF(AD$5&gt;'假设'!$D$25,'假设'!$D$14,0)</x:f>
        <x:v>2000</x:v>
      </x:c>
      <x:c r="AE16" s="15" t="n">
        <x:f>IF(AE$5&gt;'假设'!$D$25,'假设'!$D$14,0)</x:f>
        <x:v>2000</x:v>
      </x:c>
      <x:c r="AF16" s="15" t="n">
        <x:f>IF(AF$5&gt;'假设'!$D$25,'假设'!$D$14,0)</x:f>
        <x:v>2000</x:v>
      </x:c>
      <x:c r="AG16" s="15" t="n">
        <x:f>IF(AG$5&gt;'假设'!$D$25,'假设'!$D$14,0)</x:f>
        <x:v>2000</x:v>
      </x:c>
      <x:c r="AH16" s="15" t="n">
        <x:f>IF(AH$5&gt;'假设'!$D$25,'假设'!$D$14,0)</x:f>
        <x:v>2000</x:v>
      </x:c>
      <x:c r="AI16" s="15" t="n">
        <x:f>IF(AI$5&gt;'假设'!$D$25,'假设'!$D$14,0)</x:f>
        <x:v>2000</x:v>
      </x:c>
      <x:c r="AJ16" s="15" t="n">
        <x:f>IF(AJ$5&gt;'假设'!$D$25,'假设'!$D$14,0)</x:f>
        <x:v>2000</x:v>
      </x:c>
      <x:c r="AK16" s="15" t="n">
        <x:f>IF(AK$5&gt;'假设'!$D$25,'假设'!$D$14,0)</x:f>
        <x:v>2000</x:v>
      </x:c>
      <x:c r="AL16" s="15" t="n">
        <x:f>IF(AL$5&gt;'假设'!$D$25,'假设'!$D$14,0)</x:f>
        <x:v>2000</x:v>
      </x:c>
      <x:c r="AM16" s="15" t="n">
        <x:f>IF(AM$5&gt;'假设'!$D$25,'假设'!$D$14,0)</x:f>
        <x:v>2000</x:v>
      </x:c>
      <x:c r="AN16" s="3"/>
    </x:row>
    <x:row r="17" ht="24" customHeight="1">
      <x:c r="A17" s="1"/>
      <x:c r="B17" s="1"/>
      <x:c r="C17" s="1" t="str">
        <x:v>销售成本合计</x:v>
      </x:c>
      <x:c r="D17" s="2" t="n">
        <x:f>SUM(D15:D16)</x:f>
        <x:v>0</x:v>
      </x:c>
      <x:c r="E17" s="2" t="n">
        <x:f>SUM(E15:E16)</x:f>
        <x:v>0</x:v>
      </x:c>
      <x:c r="F17" s="2" t="n">
        <x:f>SUM(F15:F16)</x:f>
        <x:v>0</x:v>
      </x:c>
      <x:c r="G17" s="2" t="n">
        <x:f>SUM(G15:G16)</x:f>
        <x:v>0</x:v>
      </x:c>
      <x:c r="H17" s="2" t="n">
        <x:f>SUM(H15:H16)</x:f>
        <x:v>4400</x:v>
      </x:c>
      <x:c r="I17" s="2" t="n">
        <x:f>SUM(I15:I16)</x:f>
        <x:v>5600</x:v>
      </x:c>
      <x:c r="J17" s="2" t="n">
        <x:f>SUM(J15:J16)</x:f>
        <x:v>6800</x:v>
      </x:c>
      <x:c r="K17" s="2" t="n">
        <x:f>SUM(K15:K16)</x:f>
        <x:v>8000</x:v>
      </x:c>
      <x:c r="L17" s="2" t="n">
        <x:f>SUM(L15:L16)</x:f>
        <x:v>9200</x:v>
      </x:c>
      <x:c r="M17" s="2" t="n">
        <x:f>SUM(M15:M16)</x:f>
        <x:v>10400</x:v>
      </x:c>
      <x:c r="N17" s="2" t="n">
        <x:f>SUM(N15:N16)</x:f>
        <x:v>11600</x:v>
      </x:c>
      <x:c r="O17" s="2" t="n">
        <x:f>SUM(O15:O16)</x:f>
        <x:v>12800</x:v>
      </x:c>
      <x:c r="P17" s="2" t="n">
        <x:f>SUM(P15:P16)</x:f>
        <x:v>14000</x:v>
      </x:c>
      <x:c r="Q17" s="2" t="n">
        <x:f>SUM(Q15:Q16)</x:f>
        <x:v>14000</x:v>
      </x:c>
      <x:c r="R17" s="2" t="n">
        <x:f>SUM(R15:R16)</x:f>
        <x:v>15200</x:v>
      </x:c>
      <x:c r="S17" s="2" t="n">
        <x:f>SUM(S15:S16)</x:f>
        <x:v>15200</x:v>
      </x:c>
      <x:c r="T17" s="2" t="n">
        <x:f>SUM(T15:T16)</x:f>
        <x:v>16400</x:v>
      </x:c>
      <x:c r="U17" s="2" t="n">
        <x:f>SUM(U15:U16)</x:f>
        <x:v>16400</x:v>
      </x:c>
      <x:c r="V17" s="2" t="n">
        <x:f>SUM(V15:V16)</x:f>
        <x:v>16400</x:v>
      </x:c>
      <x:c r="W17" s="2" t="n">
        <x:f>SUM(W15:W16)</x:f>
        <x:v>17600</x:v>
      </x:c>
      <x:c r="X17" s="2" t="n">
        <x:f>SUM(X15:X16)</x:f>
        <x:v>17600</x:v>
      </x:c>
      <x:c r="Y17" s="2" t="n">
        <x:f>SUM(Y15:Y16)</x:f>
        <x:v>17600</x:v>
      </x:c>
      <x:c r="Z17" s="2" t="n">
        <x:f>SUM(Z15:Z16)</x:f>
        <x:v>18800</x:v>
      </x:c>
      <x:c r="AA17" s="2" t="n">
        <x:f>SUM(AA15:AA16)</x:f>
        <x:v>18800</x:v>
      </x:c>
      <x:c r="AB17" s="2" t="n">
        <x:f>SUM(AB15:AB16)</x:f>
        <x:v>18800</x:v>
      </x:c>
      <x:c r="AC17" s="2" t="n">
        <x:f>SUM(AC15:AC16)</x:f>
        <x:v>20000</x:v>
      </x:c>
      <x:c r="AD17" s="2" t="n">
        <x:f>SUM(AD15:AD16)</x:f>
        <x:v>20000</x:v>
      </x:c>
      <x:c r="AE17" s="2" t="n">
        <x:f>SUM(AE15:AE16)</x:f>
        <x:v>20000</x:v>
      </x:c>
      <x:c r="AF17" s="2" t="n">
        <x:f>SUM(AF15:AF16)</x:f>
        <x:v>20000</x:v>
      </x:c>
      <x:c r="AG17" s="2" t="n">
        <x:f>SUM(AG15:AG16)</x:f>
        <x:v>20000</x:v>
      </x:c>
      <x:c r="AH17" s="2" t="n">
        <x:f>SUM(AH15:AH16)</x:f>
        <x:v>20000</x:v>
      </x:c>
      <x:c r="AI17" s="2" t="n">
        <x:f>SUM(AI15:AI16)</x:f>
        <x:v>20000</x:v>
      </x:c>
      <x:c r="AJ17" s="2" t="n">
        <x:f>SUM(AJ15:AJ16)</x:f>
        <x:v>20000</x:v>
      </x:c>
      <x:c r="AK17" s="2" t="n">
        <x:f>SUM(AK15:AK16)</x:f>
        <x:v>20000</x:v>
      </x:c>
      <x:c r="AL17" s="2" t="n">
        <x:f>SUM(AL15:AL16)</x:f>
        <x:v>20000</x:v>
      </x:c>
      <x:c r="AM17" s="2" t="n">
        <x:f>SUM(AM15:AM16)</x:f>
        <x:v>20000</x:v>
      </x:c>
      <x:c r="AN17" s="3"/>
    </x:row>
    <x:row r="18" ht="24" customHeight="1">
      <x:c r="A18" s="1"/>
      <x:c r="B18" s="1"/>
      <x:c r="C18" s="22" t="str">
        <x:v>毛利</x:v>
      </x:c>
      <x:c r="D18" s="24" t="n">
        <x:f>D14-D17</x:f>
        <x:v>0</x:v>
      </x:c>
      <x:c r="E18" s="24" t="n">
        <x:f>E14-E17</x:f>
        <x:v>0</x:v>
      </x:c>
      <x:c r="F18" s="24" t="n">
        <x:f>F14-F17</x:f>
        <x:v>0</x:v>
      </x:c>
      <x:c r="G18" s="24" t="n">
        <x:f>G14-G17</x:f>
        <x:v>0</x:v>
      </x:c>
      <x:c r="H18" s="24" t="n">
        <x:f>H14-H17</x:f>
        <x:v>1600</x:v>
      </x:c>
      <x:c r="I18" s="24" t="n">
        <x:f>I14-I17</x:f>
        <x:v>3400</x:v>
      </x:c>
      <x:c r="J18" s="24" t="n">
        <x:f>J14-J17</x:f>
        <x:v>5200</x:v>
      </x:c>
      <x:c r="K18" s="24" t="n">
        <x:f>K14-K17</x:f>
        <x:v>7000</x:v>
      </x:c>
      <x:c r="L18" s="24" t="n">
        <x:f>L14-L17</x:f>
        <x:v>8800</x:v>
      </x:c>
      <x:c r="M18" s="24" t="n">
        <x:f>M14-M17</x:f>
        <x:v>10600</x:v>
      </x:c>
      <x:c r="N18" s="24" t="n">
        <x:f>N14-N17</x:f>
        <x:v>12400</x:v>
      </x:c>
      <x:c r="O18" s="24" t="n">
        <x:f>O14-O17</x:f>
        <x:v>14200</x:v>
      </x:c>
      <x:c r="P18" s="24" t="n">
        <x:f>P14-P17</x:f>
        <x:v>16000</x:v>
      </x:c>
      <x:c r="Q18" s="24" t="n">
        <x:f>Q14-Q17</x:f>
        <x:v>16000</x:v>
      </x:c>
      <x:c r="R18" s="24" t="n">
        <x:f>R14-R17</x:f>
        <x:v>17800</x:v>
      </x:c>
      <x:c r="S18" s="24" t="n">
        <x:f>S14-S17</x:f>
        <x:v>17800</x:v>
      </x:c>
      <x:c r="T18" s="24" t="n">
        <x:f>T14-T17</x:f>
        <x:v>19600</x:v>
      </x:c>
      <x:c r="U18" s="24" t="n">
        <x:f>U14-U17</x:f>
        <x:v>19600</x:v>
      </x:c>
      <x:c r="V18" s="24" t="n">
        <x:f>V14-V17</x:f>
        <x:v>19600</x:v>
      </x:c>
      <x:c r="W18" s="24" t="n">
        <x:f>W14-W17</x:f>
        <x:v>21400</x:v>
      </x:c>
      <x:c r="X18" s="24" t="n">
        <x:f>X14-X17</x:f>
        <x:v>21400</x:v>
      </x:c>
      <x:c r="Y18" s="24" t="n">
        <x:f>Y14-Y17</x:f>
        <x:v>21400</x:v>
      </x:c>
      <x:c r="Z18" s="24" t="n">
        <x:f>Z14-Z17</x:f>
        <x:v>23200</x:v>
      </x:c>
      <x:c r="AA18" s="24" t="n">
        <x:f>AA14-AA17</x:f>
        <x:v>23200</x:v>
      </x:c>
      <x:c r="AB18" s="24" t="n">
        <x:f>AB14-AB17</x:f>
        <x:v>23200</x:v>
      </x:c>
      <x:c r="AC18" s="24" t="n">
        <x:f>AC14-AC17</x:f>
        <x:v>25000</x:v>
      </x:c>
      <x:c r="AD18" s="24" t="n">
        <x:f>AD14-AD17</x:f>
        <x:v>25000</x:v>
      </x:c>
      <x:c r="AE18" s="24" t="n">
        <x:f>AE14-AE17</x:f>
        <x:v>25000</x:v>
      </x:c>
      <x:c r="AF18" s="24" t="n">
        <x:f>AF14-AF17</x:f>
        <x:v>25000</x:v>
      </x:c>
      <x:c r="AG18" s="24" t="n">
        <x:f>AG14-AG17</x:f>
        <x:v>25000</x:v>
      </x:c>
      <x:c r="AH18" s="24" t="n">
        <x:f>AH14-AH17</x:f>
        <x:v>25000</x:v>
      </x:c>
      <x:c r="AI18" s="24" t="n">
        <x:f>AI14-AI17</x:f>
        <x:v>25000</x:v>
      </x:c>
      <x:c r="AJ18" s="24" t="n">
        <x:f>AJ14-AJ17</x:f>
        <x:v>25000</x:v>
      </x:c>
      <x:c r="AK18" s="24" t="n">
        <x:f>AK14-AK17</x:f>
        <x:v>25000</x:v>
      </x:c>
      <x:c r="AL18" s="24" t="n">
        <x:f>AL14-AL17</x:f>
        <x:v>25000</x:v>
      </x:c>
      <x:c r="AM18" s="24" t="n">
        <x:f>AM14-AM17</x:f>
        <x:v>25000</x:v>
      </x:c>
      <x:c r="AN18" s="3"/>
    </x:row>
    <x:row r="19" ht="24" customHeight="1">
      <x:c r="A19" s="1"/>
      <x:c r="B19" s="1"/>
      <x:c r="C19" s="1" t="str">
        <x:v>毛利率</x:v>
      </x:c>
      <x:c r="D19" s="17" t="str">
        <x:f>IF(D14=0,"不适用",D18/D14)</x:f>
        <x:v>不适用</x:v>
      </x:c>
      <x:c r="E19" s="17" t="str">
        <x:f>IF(E14=0,"不适用",E18/E14)</x:f>
        <x:v>不适用</x:v>
      </x:c>
      <x:c r="F19" s="17" t="str">
        <x:f>IF(F14=0,"不适用",F18/F14)</x:f>
        <x:v>不适用</x:v>
      </x:c>
      <x:c r="G19" s="17" t="str">
        <x:f>IF(G14=0,"不适用",G18/G14)</x:f>
        <x:v>不适用</x:v>
      </x:c>
      <x:c r="H19" s="17" t="n">
        <x:f>IF(H14=0,"不适用",H18/H14)</x:f>
        <x:v>0.26666666666666666</x:v>
      </x:c>
      <x:c r="I19" s="17" t="n">
        <x:f>IF(I14=0,"不适用",I18/I14)</x:f>
        <x:v>0.37777777777777777</x:v>
      </x:c>
      <x:c r="J19" s="17" t="n">
        <x:f>IF(J14=0,"不适用",J18/J14)</x:f>
        <x:v>0.43333333333333335</x:v>
      </x:c>
      <x:c r="K19" s="17" t="n">
        <x:f>IF(K14=0,"不适用",K18/K14)</x:f>
        <x:v>0.4666666666666667</x:v>
      </x:c>
      <x:c r="L19" s="17" t="n">
        <x:f>IF(L14=0,"不适用",L18/L14)</x:f>
        <x:v>0.4888888888888889</x:v>
      </x:c>
      <x:c r="M19" s="17" t="n">
        <x:f>IF(M14=0,"不适用",M18/M14)</x:f>
        <x:v>0.5047619047619047</x:v>
      </x:c>
      <x:c r="N19" s="17" t="n">
        <x:f>IF(N14=0,"不适用",N18/N14)</x:f>
        <x:v>0.5166666666666667</x:v>
      </x:c>
      <x:c r="O19" s="17" t="n">
        <x:f>IF(O14=0,"不适用",O18/O14)</x:f>
        <x:v>0.5259259259259259</x:v>
      </x:c>
      <x:c r="P19" s="17" t="n">
        <x:f>IF(P14=0,"不适用",P18/P14)</x:f>
        <x:v>0.5333333333333333</x:v>
      </x:c>
      <x:c r="Q19" s="17" t="n">
        <x:f>IF(Q14=0,"不适用",Q18/Q14)</x:f>
        <x:v>0.5333333333333333</x:v>
      </x:c>
      <x:c r="R19" s="17" t="n">
        <x:f>IF(R14=0,"不适用",R18/R14)</x:f>
        <x:v>0.5393939393939394</x:v>
      </x:c>
      <x:c r="S19" s="17" t="n">
        <x:f>IF(S14=0,"不适用",S18/S14)</x:f>
        <x:v>0.5393939393939394</x:v>
      </x:c>
      <x:c r="T19" s="17" t="n">
        <x:f>IF(T14=0,"不适用",T18/T14)</x:f>
        <x:v>0.5444444444444444</x:v>
      </x:c>
      <x:c r="U19" s="17" t="n">
        <x:f>IF(U14=0,"不适用",U18/U14)</x:f>
        <x:v>0.5444444444444444</x:v>
      </x:c>
      <x:c r="V19" s="17" t="n">
        <x:f>IF(V14=0,"不适用",V18/V14)</x:f>
        <x:v>0.5444444444444444</x:v>
      </x:c>
      <x:c r="W19" s="17" t="n">
        <x:f>IF(W14=0,"不适用",W18/W14)</x:f>
        <x:v>0.5487179487179488</x:v>
      </x:c>
      <x:c r="X19" s="17" t="n">
        <x:f>IF(X14=0,"不适用",X18/X14)</x:f>
        <x:v>0.5487179487179488</x:v>
      </x:c>
      <x:c r="Y19" s="17" t="n">
        <x:f>IF(Y14=0,"不适用",Y18/Y14)</x:f>
        <x:v>0.5487179487179488</x:v>
      </x:c>
      <x:c r="Z19" s="17" t="n">
        <x:f>IF(Z14=0,"不适用",Z18/Z14)</x:f>
        <x:v>0.5523809523809524</x:v>
      </x:c>
      <x:c r="AA19" s="17" t="n">
        <x:f>IF(AA14=0,"不适用",AA18/AA14)</x:f>
        <x:v>0.5523809523809524</x:v>
      </x:c>
      <x:c r="AB19" s="17" t="n">
        <x:f>IF(AB14=0,"不适用",AB18/AB14)</x:f>
        <x:v>0.5523809523809524</x:v>
      </x:c>
      <x:c r="AC19" s="17" t="n">
        <x:f>IF(AC14=0,"不适用",AC18/AC14)</x:f>
        <x:v>0.5555555555555556</x:v>
      </x:c>
      <x:c r="AD19" s="17" t="n">
        <x:f>IF(AD14=0,"不适用",AD18/AD14)</x:f>
        <x:v>0.5555555555555556</x:v>
      </x:c>
      <x:c r="AE19" s="17" t="n">
        <x:f>IF(AE14=0,"不适用",AE18/AE14)</x:f>
        <x:v>0.5555555555555556</x:v>
      </x:c>
      <x:c r="AF19" s="17" t="n">
        <x:f>IF(AF14=0,"不适用",AF18/AF14)</x:f>
        <x:v>0.5555555555555556</x:v>
      </x:c>
      <x:c r="AG19" s="17" t="n">
        <x:f>IF(AG14=0,"不适用",AG18/AG14)</x:f>
        <x:v>0.5555555555555556</x:v>
      </x:c>
      <x:c r="AH19" s="17" t="n">
        <x:f>IF(AH14=0,"不适用",AH18/AH14)</x:f>
        <x:v>0.5555555555555556</x:v>
      </x:c>
      <x:c r="AI19" s="17" t="n">
        <x:f>IF(AI14=0,"不适用",AI18/AI14)</x:f>
        <x:v>0.5555555555555556</x:v>
      </x:c>
      <x:c r="AJ19" s="17" t="n">
        <x:f>IF(AJ14=0,"不适用",AJ18/AJ14)</x:f>
        <x:v>0.5555555555555556</x:v>
      </x:c>
      <x:c r="AK19" s="17" t="n">
        <x:f>IF(AK14=0,"不适用",AK18/AK14)</x:f>
        <x:v>0.5555555555555556</x:v>
      </x:c>
      <x:c r="AL19" s="17" t="n">
        <x:f>IF(AL14=0,"不适用",AL18/AL14)</x:f>
        <x:v>0.5555555555555556</x:v>
      </x:c>
      <x:c r="AM19" s="17" t="n">
        <x:f>IF(AM14=0,"不适用",AM18/AM14)</x:f>
        <x:v>0.5555555555555556</x:v>
      </x:c>
      <x:c r="AN19" s="3"/>
    </x:row>
    <x:row r="20" ht="24" customHeight="1">
      <x:c r="A20" s="1"/>
      <x:c r="B20" s="1"/>
      <x:c r="C20" s="1" t="str">
        <x:v>活动获取佣金</x:v>
      </x:c>
      <x:c r="D20" s="15" t="n">
        <x:f>D6*'假设'!$D$13</x:f>
        <x:v>0</x:v>
      </x:c>
      <x:c r="E20" s="15" t="n">
        <x:f>E6*'假设'!$D$13</x:f>
        <x:v>0</x:v>
      </x:c>
      <x:c r="F20" s="15" t="n">
        <x:f>F6*'假设'!$D$13</x:f>
        <x:v>0</x:v>
      </x:c>
      <x:c r="G20" s="15" t="n">
        <x:f>G6*'假设'!$D$13</x:f>
        <x:v>0</x:v>
      </x:c>
      <x:c r="H20" s="15" t="n">
        <x:f>H6*'假设'!$D$13</x:f>
        <x:v>600</x:v>
      </x:c>
      <x:c r="I20" s="15" t="n">
        <x:f>I6*'假设'!$D$13</x:f>
        <x:v>900</x:v>
      </x:c>
      <x:c r="J20" s="15" t="n">
        <x:f>J6*'假设'!$D$13</x:f>
        <x:v>1200</x:v>
      </x:c>
      <x:c r="K20" s="15" t="n">
        <x:f>K6*'假设'!$D$13</x:f>
        <x:v>1500</x:v>
      </x:c>
      <x:c r="L20" s="15" t="n">
        <x:f>L6*'假设'!$D$13</x:f>
        <x:v>1800</x:v>
      </x:c>
      <x:c r="M20" s="15" t="n">
        <x:f>M6*'假设'!$D$13</x:f>
        <x:v>2100</x:v>
      </x:c>
      <x:c r="N20" s="15" t="n">
        <x:f>N6*'假设'!$D$13</x:f>
        <x:v>2400</x:v>
      </x:c>
      <x:c r="O20" s="15" t="n">
        <x:f>O6*'假设'!$D$13</x:f>
        <x:v>2700</x:v>
      </x:c>
      <x:c r="P20" s="15" t="n">
        <x:f>P6*'假设'!$D$13</x:f>
        <x:v>3000</x:v>
      </x:c>
      <x:c r="Q20" s="15" t="n">
        <x:f>Q6*'假设'!$D$13</x:f>
        <x:v>3000</x:v>
      </x:c>
      <x:c r="R20" s="15" t="n">
        <x:f>R6*'假设'!$D$13</x:f>
        <x:v>3300</x:v>
      </x:c>
      <x:c r="S20" s="15" t="n">
        <x:f>S6*'假设'!$D$13</x:f>
        <x:v>3300</x:v>
      </x:c>
      <x:c r="T20" s="15" t="n">
        <x:f>T6*'假设'!$D$13</x:f>
        <x:v>3600</x:v>
      </x:c>
      <x:c r="U20" s="15" t="n">
        <x:f>U6*'假设'!$D$13</x:f>
        <x:v>3600</x:v>
      </x:c>
      <x:c r="V20" s="15" t="n">
        <x:f>V6*'假设'!$D$13</x:f>
        <x:v>3600</x:v>
      </x:c>
      <x:c r="W20" s="15" t="n">
        <x:f>W6*'假设'!$D$13</x:f>
        <x:v>3900</x:v>
      </x:c>
      <x:c r="X20" s="15" t="n">
        <x:f>X6*'假设'!$D$13</x:f>
        <x:v>3900</x:v>
      </x:c>
      <x:c r="Y20" s="15" t="n">
        <x:f>Y6*'假设'!$D$13</x:f>
        <x:v>3900</x:v>
      </x:c>
      <x:c r="Z20" s="15" t="n">
        <x:f>Z6*'假设'!$D$13</x:f>
        <x:v>4200</x:v>
      </x:c>
      <x:c r="AA20" s="15" t="n">
        <x:f>AA6*'假设'!$D$13</x:f>
        <x:v>4200</x:v>
      </x:c>
      <x:c r="AB20" s="15" t="n">
        <x:f>AB6*'假设'!$D$13</x:f>
        <x:v>4200</x:v>
      </x:c>
      <x:c r="AC20" s="15" t="n">
        <x:f>AC6*'假设'!$D$13</x:f>
        <x:v>4500</x:v>
      </x:c>
      <x:c r="AD20" s="15" t="n">
        <x:f>AD6*'假设'!$D$13</x:f>
        <x:v>4500</x:v>
      </x:c>
      <x:c r="AE20" s="15" t="n">
        <x:f>AE6*'假设'!$D$13</x:f>
        <x:v>4500</x:v>
      </x:c>
      <x:c r="AF20" s="15" t="n">
        <x:f>AF6*'假设'!$D$13</x:f>
        <x:v>4500</x:v>
      </x:c>
      <x:c r="AG20" s="15" t="n">
        <x:f>AG6*'假设'!$D$13</x:f>
        <x:v>4500</x:v>
      </x:c>
      <x:c r="AH20" s="15" t="n">
        <x:f>AH6*'假设'!$D$13</x:f>
        <x:v>4500</x:v>
      </x:c>
      <x:c r="AI20" s="15" t="n">
        <x:f>AI6*'假设'!$D$13</x:f>
        <x:v>4500</x:v>
      </x:c>
      <x:c r="AJ20" s="15" t="n">
        <x:f>AJ6*'假设'!$D$13</x:f>
        <x:v>4500</x:v>
      </x:c>
      <x:c r="AK20" s="15" t="n">
        <x:f>AK6*'假设'!$D$13</x:f>
        <x:v>4500</x:v>
      </x:c>
      <x:c r="AL20" s="15" t="n">
        <x:f>AL6*'假设'!$D$13</x:f>
        <x:v>4500</x:v>
      </x:c>
      <x:c r="AM20" s="15" t="n">
        <x:f>AM6*'假设'!$D$13</x:f>
        <x:v>4500</x:v>
      </x:c>
      <x:c r="AN20" s="3"/>
    </x:row>
    <x:row r="21" ht="24" customHeight="1">
      <x:c r="A21" s="1"/>
      <x:c r="B21" s="1"/>
      <x:c r="C21" s="22" t="str">
        <x:v>贡献（CAC前）</x:v>
      </x:c>
      <x:c r="D21" s="24" t="n">
        <x:f>D14-D15-D20</x:f>
        <x:v>0</x:v>
      </x:c>
      <x:c r="E21" s="24" t="n">
        <x:f>E14-E15-E20</x:f>
        <x:v>0</x:v>
      </x:c>
      <x:c r="F21" s="24" t="n">
        <x:f>F14-F15-F20</x:f>
        <x:v>0</x:v>
      </x:c>
      <x:c r="G21" s="24" t="n">
        <x:f>G14-G15-G20</x:f>
        <x:v>0</x:v>
      </x:c>
      <x:c r="H21" s="24" t="n">
        <x:f>H14-H15-H20</x:f>
        <x:v>3000</x:v>
      </x:c>
      <x:c r="I21" s="24" t="n">
        <x:f>I14-I15-I20</x:f>
        <x:v>4500</x:v>
      </x:c>
      <x:c r="J21" s="24" t="n">
        <x:f>J14-J15-J20</x:f>
        <x:v>6000</x:v>
      </x:c>
      <x:c r="K21" s="24" t="n">
        <x:f>K14-K15-K20</x:f>
        <x:v>7500</x:v>
      </x:c>
      <x:c r="L21" s="24" t="n">
        <x:f>L14-L15-L20</x:f>
        <x:v>9000</x:v>
      </x:c>
      <x:c r="M21" s="24" t="n">
        <x:f>M14-M15-M20</x:f>
        <x:v>10500</x:v>
      </x:c>
      <x:c r="N21" s="24" t="n">
        <x:f>N14-N15-N20</x:f>
        <x:v>12000</x:v>
      </x:c>
      <x:c r="O21" s="24" t="n">
        <x:f>O14-O15-O20</x:f>
        <x:v>13500</x:v>
      </x:c>
      <x:c r="P21" s="24" t="n">
        <x:f>P14-P15-P20</x:f>
        <x:v>15000</x:v>
      </x:c>
      <x:c r="Q21" s="24" t="n">
        <x:f>Q14-Q15-Q20</x:f>
        <x:v>15000</x:v>
      </x:c>
      <x:c r="R21" s="24" t="n">
        <x:f>R14-R15-R20</x:f>
        <x:v>16500</x:v>
      </x:c>
      <x:c r="S21" s="24" t="n">
        <x:f>S14-S15-S20</x:f>
        <x:v>16500</x:v>
      </x:c>
      <x:c r="T21" s="24" t="n">
        <x:f>T14-T15-T20</x:f>
        <x:v>18000</x:v>
      </x:c>
      <x:c r="U21" s="24" t="n">
        <x:f>U14-U15-U20</x:f>
        <x:v>18000</x:v>
      </x:c>
      <x:c r="V21" s="24" t="n">
        <x:f>V14-V15-V20</x:f>
        <x:v>18000</x:v>
      </x:c>
      <x:c r="W21" s="24" t="n">
        <x:f>W14-W15-W20</x:f>
        <x:v>19500</x:v>
      </x:c>
      <x:c r="X21" s="24" t="n">
        <x:f>X14-X15-X20</x:f>
        <x:v>19500</x:v>
      </x:c>
      <x:c r="Y21" s="24" t="n">
        <x:f>Y14-Y15-Y20</x:f>
        <x:v>19500</x:v>
      </x:c>
      <x:c r="Z21" s="24" t="n">
        <x:f>Z14-Z15-Z20</x:f>
        <x:v>21000</x:v>
      </x:c>
      <x:c r="AA21" s="24" t="n">
        <x:f>AA14-AA15-AA20</x:f>
        <x:v>21000</x:v>
      </x:c>
      <x:c r="AB21" s="24" t="n">
        <x:f>AB14-AB15-AB20</x:f>
        <x:v>21000</x:v>
      </x:c>
      <x:c r="AC21" s="24" t="n">
        <x:f>AC14-AC15-AC20</x:f>
        <x:v>22500</x:v>
      </x:c>
      <x:c r="AD21" s="24" t="n">
        <x:f>AD14-AD15-AD20</x:f>
        <x:v>22500</x:v>
      </x:c>
      <x:c r="AE21" s="24" t="n">
        <x:f>AE14-AE15-AE20</x:f>
        <x:v>22500</x:v>
      </x:c>
      <x:c r="AF21" s="24" t="n">
        <x:f>AF14-AF15-AF20</x:f>
        <x:v>22500</x:v>
      </x:c>
      <x:c r="AG21" s="24" t="n">
        <x:f>AG14-AG15-AG20</x:f>
        <x:v>22500</x:v>
      </x:c>
      <x:c r="AH21" s="24" t="n">
        <x:f>AH14-AH15-AH20</x:f>
        <x:v>22500</x:v>
      </x:c>
      <x:c r="AI21" s="24" t="n">
        <x:f>AI14-AI15-AI20</x:f>
        <x:v>22500</x:v>
      </x:c>
      <x:c r="AJ21" s="24" t="n">
        <x:f>AJ14-AJ15-AJ20</x:f>
        <x:v>22500</x:v>
      </x:c>
      <x:c r="AK21" s="24" t="n">
        <x:f>AK14-AK15-AK20</x:f>
        <x:v>22500</x:v>
      </x:c>
      <x:c r="AL21" s="24" t="n">
        <x:f>AL14-AL15-AL20</x:f>
        <x:v>22500</x:v>
      </x:c>
      <x:c r="AM21" s="24" t="n">
        <x:f>AM14-AM15-AM20</x:f>
        <x:v>22500</x:v>
      </x:c>
      <x:c r="AN21" s="3"/>
    </x:row>
    <x:row r="22" ht="24" customHeight="1">
      <x:c r="A22" s="1"/>
      <x:c r="B22" s="1"/>
      <x:c r="C22" s="1" t="str">
        <x:v>固定非履约支出</x:v>
      </x:c>
      <x:c r="D22" s="15" t="n">
        <x:f>IF(D$5&gt;'假设'!$D$25,'假设'!$D$15,0)</x:f>
        <x:v>0</x:v>
      </x:c>
      <x:c r="E22" s="15" t="n">
        <x:f>IF(E$5&gt;'假设'!$D$25,'假设'!$D$15,0)</x:f>
        <x:v>0</x:v>
      </x:c>
      <x:c r="F22" s="15" t="n">
        <x:f>IF(F$5&gt;'假设'!$D$25,'假设'!$D$15,0)</x:f>
        <x:v>0</x:v>
      </x:c>
      <x:c r="G22" s="15" t="n">
        <x:f>IF(G$5&gt;'假设'!$D$25,'假设'!$D$15,0)</x:f>
        <x:v>0</x:v>
      </x:c>
      <x:c r="H22" s="15" t="n">
        <x:f>IF(H$5&gt;'假设'!$D$25,'假设'!$D$15,0)</x:f>
        <x:v>15000</x:v>
      </x:c>
      <x:c r="I22" s="15" t="n">
        <x:f>IF(I$5&gt;'假设'!$D$25,'假设'!$D$15,0)</x:f>
        <x:v>15000</x:v>
      </x:c>
      <x:c r="J22" s="15" t="n">
        <x:f>IF(J$5&gt;'假设'!$D$25,'假设'!$D$15,0)</x:f>
        <x:v>15000</x:v>
      </x:c>
      <x:c r="K22" s="15" t="n">
        <x:f>IF(K$5&gt;'假设'!$D$25,'假设'!$D$15,0)</x:f>
        <x:v>15000</x:v>
      </x:c>
      <x:c r="L22" s="15" t="n">
        <x:f>IF(L$5&gt;'假设'!$D$25,'假设'!$D$15,0)</x:f>
        <x:v>15000</x:v>
      </x:c>
      <x:c r="M22" s="15" t="n">
        <x:f>IF(M$5&gt;'假设'!$D$25,'假设'!$D$15,0)</x:f>
        <x:v>15000</x:v>
      </x:c>
      <x:c r="N22" s="15" t="n">
        <x:f>IF(N$5&gt;'假设'!$D$25,'假设'!$D$15,0)</x:f>
        <x:v>15000</x:v>
      </x:c>
      <x:c r="O22" s="15" t="n">
        <x:f>IF(O$5&gt;'假设'!$D$25,'假设'!$D$15,0)</x:f>
        <x:v>15000</x:v>
      </x:c>
      <x:c r="P22" s="15" t="n">
        <x:f>IF(P$5&gt;'假设'!$D$25,'假设'!$D$15,0)</x:f>
        <x:v>15000</x:v>
      </x:c>
      <x:c r="Q22" s="15" t="n">
        <x:f>IF(Q$5&gt;'假设'!$D$25,'假设'!$D$15,0)</x:f>
        <x:v>15000</x:v>
      </x:c>
      <x:c r="R22" s="15" t="n">
        <x:f>IF(R$5&gt;'假设'!$D$25,'假设'!$D$15,0)</x:f>
        <x:v>15000</x:v>
      </x:c>
      <x:c r="S22" s="15" t="n">
        <x:f>IF(S$5&gt;'假设'!$D$25,'假设'!$D$15,0)</x:f>
        <x:v>15000</x:v>
      </x:c>
      <x:c r="T22" s="15" t="n">
        <x:f>IF(T$5&gt;'假设'!$D$25,'假设'!$D$15,0)</x:f>
        <x:v>15000</x:v>
      </x:c>
      <x:c r="U22" s="15" t="n">
        <x:f>IF(U$5&gt;'假设'!$D$25,'假设'!$D$15,0)</x:f>
        <x:v>15000</x:v>
      </x:c>
      <x:c r="V22" s="15" t="n">
        <x:f>IF(V$5&gt;'假设'!$D$25,'假设'!$D$15,0)</x:f>
        <x:v>15000</x:v>
      </x:c>
      <x:c r="W22" s="15" t="n">
        <x:f>IF(W$5&gt;'假设'!$D$25,'假设'!$D$15,0)</x:f>
        <x:v>15000</x:v>
      </x:c>
      <x:c r="X22" s="15" t="n">
        <x:f>IF(X$5&gt;'假设'!$D$25,'假设'!$D$15,0)</x:f>
        <x:v>15000</x:v>
      </x:c>
      <x:c r="Y22" s="15" t="n">
        <x:f>IF(Y$5&gt;'假设'!$D$25,'假设'!$D$15,0)</x:f>
        <x:v>15000</x:v>
      </x:c>
      <x:c r="Z22" s="15" t="n">
        <x:f>IF(Z$5&gt;'假设'!$D$25,'假设'!$D$15,0)</x:f>
        <x:v>15000</x:v>
      </x:c>
      <x:c r="AA22" s="15" t="n">
        <x:f>IF(AA$5&gt;'假设'!$D$25,'假设'!$D$15,0)</x:f>
        <x:v>15000</x:v>
      </x:c>
      <x:c r="AB22" s="15" t="n">
        <x:f>IF(AB$5&gt;'假设'!$D$25,'假设'!$D$15,0)</x:f>
        <x:v>15000</x:v>
      </x:c>
      <x:c r="AC22" s="15" t="n">
        <x:f>IF(AC$5&gt;'假设'!$D$25,'假设'!$D$15,0)</x:f>
        <x:v>15000</x:v>
      </x:c>
      <x:c r="AD22" s="15" t="n">
        <x:f>IF(AD$5&gt;'假设'!$D$25,'假设'!$D$15,0)</x:f>
        <x:v>15000</x:v>
      </x:c>
      <x:c r="AE22" s="15" t="n">
        <x:f>IF(AE$5&gt;'假设'!$D$25,'假设'!$D$15,0)</x:f>
        <x:v>15000</x:v>
      </x:c>
      <x:c r="AF22" s="15" t="n">
        <x:f>IF(AF$5&gt;'假设'!$D$25,'假设'!$D$15,0)</x:f>
        <x:v>15000</x:v>
      </x:c>
      <x:c r="AG22" s="15" t="n">
        <x:f>IF(AG$5&gt;'假设'!$D$25,'假设'!$D$15,0)</x:f>
        <x:v>15000</x:v>
      </x:c>
      <x:c r="AH22" s="15" t="n">
        <x:f>IF(AH$5&gt;'假设'!$D$25,'假设'!$D$15,0)</x:f>
        <x:v>15000</x:v>
      </x:c>
      <x:c r="AI22" s="15" t="n">
        <x:f>IF(AI$5&gt;'假设'!$D$25,'假设'!$D$15,0)</x:f>
        <x:v>15000</x:v>
      </x:c>
      <x:c r="AJ22" s="15" t="n">
        <x:f>IF(AJ$5&gt;'假设'!$D$25,'假设'!$D$15,0)</x:f>
        <x:v>15000</x:v>
      </x:c>
      <x:c r="AK22" s="15" t="n">
        <x:f>IF(AK$5&gt;'假设'!$D$25,'假设'!$D$15,0)</x:f>
        <x:v>15000</x:v>
      </x:c>
      <x:c r="AL22" s="15" t="n">
        <x:f>IF(AL$5&gt;'假设'!$D$25,'假设'!$D$15,0)</x:f>
        <x:v>15000</x:v>
      </x:c>
      <x:c r="AM22" s="15" t="n">
        <x:f>IF(AM$5&gt;'假设'!$D$25,'假设'!$D$15,0)</x:f>
        <x:v>15000</x:v>
      </x:c>
      <x:c r="AN22" s="3"/>
    </x:row>
    <x:row r="23" ht="24" customHeight="1">
      <x:c r="A23" s="1"/>
      <x:c r="B23" s="1"/>
      <x:c r="C23" s="1" t="str">
        <x:v>建设期运营支出</x:v>
      </x:c>
      <x:c r="D23" s="15" t="n">
        <x:f>IF(D$5&lt;='假设'!$D$25,'假设'!$D$18,0)</x:f>
        <x:v>12000</x:v>
      </x:c>
      <x:c r="E23" s="15" t="n">
        <x:f>IF(E$5&lt;='假设'!$D$25,'假设'!$D$18,0)</x:f>
        <x:v>12000</x:v>
      </x:c>
      <x:c r="F23" s="15" t="n">
        <x:f>IF(F$5&lt;='假设'!$D$25,'假设'!$D$18,0)</x:f>
        <x:v>12000</x:v>
      </x:c>
      <x:c r="G23" s="15" t="n">
        <x:f>IF(G$5&lt;='假设'!$D$25,'假设'!$D$18,0)</x:f>
        <x:v>12000</x:v>
      </x:c>
      <x:c r="H23" s="15" t="n">
        <x:f>IF(H$5&lt;='假设'!$D$25,'假设'!$D$18,0)</x:f>
        <x:v>0</x:v>
      </x:c>
      <x:c r="I23" s="15" t="n">
        <x:f>IF(I$5&lt;='假设'!$D$25,'假设'!$D$18,0)</x:f>
        <x:v>0</x:v>
      </x:c>
      <x:c r="J23" s="15" t="n">
        <x:f>IF(J$5&lt;='假设'!$D$25,'假设'!$D$18,0)</x:f>
        <x:v>0</x:v>
      </x:c>
      <x:c r="K23" s="15" t="n">
        <x:f>IF(K$5&lt;='假设'!$D$25,'假设'!$D$18,0)</x:f>
        <x:v>0</x:v>
      </x:c>
      <x:c r="L23" s="15" t="n">
        <x:f>IF(L$5&lt;='假设'!$D$25,'假设'!$D$18,0)</x:f>
        <x:v>0</x:v>
      </x:c>
      <x:c r="M23" s="15" t="n">
        <x:f>IF(M$5&lt;='假设'!$D$25,'假设'!$D$18,0)</x:f>
        <x:v>0</x:v>
      </x:c>
      <x:c r="N23" s="15" t="n">
        <x:f>IF(N$5&lt;='假设'!$D$25,'假设'!$D$18,0)</x:f>
        <x:v>0</x:v>
      </x:c>
      <x:c r="O23" s="15" t="n">
        <x:f>IF(O$5&lt;='假设'!$D$25,'假设'!$D$18,0)</x:f>
        <x:v>0</x:v>
      </x:c>
      <x:c r="P23" s="15" t="n">
        <x:f>IF(P$5&lt;='假设'!$D$25,'假设'!$D$18,0)</x:f>
        <x:v>0</x:v>
      </x:c>
      <x:c r="Q23" s="15" t="n">
        <x:f>IF(Q$5&lt;='假设'!$D$25,'假设'!$D$18,0)</x:f>
        <x:v>0</x:v>
      </x:c>
      <x:c r="R23" s="15" t="n">
        <x:f>IF(R$5&lt;='假设'!$D$25,'假设'!$D$18,0)</x:f>
        <x:v>0</x:v>
      </x:c>
      <x:c r="S23" s="15" t="n">
        <x:f>IF(S$5&lt;='假设'!$D$25,'假设'!$D$18,0)</x:f>
        <x:v>0</x:v>
      </x:c>
      <x:c r="T23" s="15" t="n">
        <x:f>IF(T$5&lt;='假设'!$D$25,'假设'!$D$18,0)</x:f>
        <x:v>0</x:v>
      </x:c>
      <x:c r="U23" s="15" t="n">
        <x:f>IF(U$5&lt;='假设'!$D$25,'假设'!$D$18,0)</x:f>
        <x:v>0</x:v>
      </x:c>
      <x:c r="V23" s="15" t="n">
        <x:f>IF(V$5&lt;='假设'!$D$25,'假设'!$D$18,0)</x:f>
        <x:v>0</x:v>
      </x:c>
      <x:c r="W23" s="15" t="n">
        <x:f>IF(W$5&lt;='假设'!$D$25,'假设'!$D$18,0)</x:f>
        <x:v>0</x:v>
      </x:c>
      <x:c r="X23" s="15" t="n">
        <x:f>IF(X$5&lt;='假设'!$D$25,'假设'!$D$18,0)</x:f>
        <x:v>0</x:v>
      </x:c>
      <x:c r="Y23" s="15" t="n">
        <x:f>IF(Y$5&lt;='假设'!$D$25,'假设'!$D$18,0)</x:f>
        <x:v>0</x:v>
      </x:c>
      <x:c r="Z23" s="15" t="n">
        <x:f>IF(Z$5&lt;='假设'!$D$25,'假设'!$D$18,0)</x:f>
        <x:v>0</x:v>
      </x:c>
      <x:c r="AA23" s="15" t="n">
        <x:f>IF(AA$5&lt;='假设'!$D$25,'假设'!$D$18,0)</x:f>
        <x:v>0</x:v>
      </x:c>
      <x:c r="AB23" s="15" t="n">
        <x:f>IF(AB$5&lt;='假设'!$D$25,'假设'!$D$18,0)</x:f>
        <x:v>0</x:v>
      </x:c>
      <x:c r="AC23" s="15" t="n">
        <x:f>IF(AC$5&lt;='假设'!$D$25,'假设'!$D$18,0)</x:f>
        <x:v>0</x:v>
      </x:c>
      <x:c r="AD23" s="15" t="n">
        <x:f>IF(AD$5&lt;='假设'!$D$25,'假设'!$D$18,0)</x:f>
        <x:v>0</x:v>
      </x:c>
      <x:c r="AE23" s="15" t="n">
        <x:f>IF(AE$5&lt;='假设'!$D$25,'假设'!$D$18,0)</x:f>
        <x:v>0</x:v>
      </x:c>
      <x:c r="AF23" s="15" t="n">
        <x:f>IF(AF$5&lt;='假设'!$D$25,'假设'!$D$18,0)</x:f>
        <x:v>0</x:v>
      </x:c>
      <x:c r="AG23" s="15" t="n">
        <x:f>IF(AG$5&lt;='假设'!$D$25,'假设'!$D$18,0)</x:f>
        <x:v>0</x:v>
      </x:c>
      <x:c r="AH23" s="15" t="n">
        <x:f>IF(AH$5&lt;='假设'!$D$25,'假设'!$D$18,0)</x:f>
        <x:v>0</x:v>
      </x:c>
      <x:c r="AI23" s="15" t="n">
        <x:f>IF(AI$5&lt;='假设'!$D$25,'假设'!$D$18,0)</x:f>
        <x:v>0</x:v>
      </x:c>
      <x:c r="AJ23" s="15" t="n">
        <x:f>IF(AJ$5&lt;='假设'!$D$25,'假设'!$D$18,0)</x:f>
        <x:v>0</x:v>
      </x:c>
      <x:c r="AK23" s="15" t="n">
        <x:f>IF(AK$5&lt;='假设'!$D$25,'假设'!$D$18,0)</x:f>
        <x:v>0</x:v>
      </x:c>
      <x:c r="AL23" s="15" t="n">
        <x:f>IF(AL$5&lt;='假设'!$D$25,'假设'!$D$18,0)</x:f>
        <x:v>0</x:v>
      </x:c>
      <x:c r="AM23" s="15" t="n">
        <x:f>IF(AM$5&lt;='假设'!$D$25,'假设'!$D$18,0)</x:f>
        <x:v>0</x:v>
      </x:c>
      <x:c r="AN23" s="3"/>
    </x:row>
    <x:row r="24" ht="24" customHeight="1">
      <x:c r="A24" s="1"/>
      <x:c r="B24" s="1"/>
      <x:c r="C24" s="22" t="str">
        <x:v>经营结果（含品牌CAC）</x:v>
      </x:c>
      <x:c r="D24" s="24" t="n">
        <x:f>D18-D20-D22-D23-D10</x:f>
        <x:v>-12000</x:v>
      </x:c>
      <x:c r="E24" s="24" t="n">
        <x:f>E18-E20-E22-E23-E10</x:f>
        <x:v>-12000</x:v>
      </x:c>
      <x:c r="F24" s="24" t="n">
        <x:f>F18-F20-F22-F23-F10</x:f>
        <x:v>-12000</x:v>
      </x:c>
      <x:c r="G24" s="24" t="n">
        <x:f>G18-G20-G22-G23-G10</x:f>
        <x:v>-12000</x:v>
      </x:c>
      <x:c r="H24" s="24" t="n">
        <x:f>H18-H20-H22-H23-H10</x:f>
        <x:v>-14000</x:v>
      </x:c>
      <x:c r="I24" s="24" t="n">
        <x:f>I18-I20-I22-I23-I10</x:f>
        <x:v>-14150</x:v>
      </x:c>
      <x:c r="J24" s="24" t="n">
        <x:f>J18-J20-J22-J23-J10</x:f>
        <x:v>-12725</x:v>
      </x:c>
      <x:c r="K24" s="24" t="n">
        <x:f>K18-K20-K22-K23-K10</x:f>
        <x:v>-11300</x:v>
      </x:c>
      <x:c r="L24" s="24" t="n">
        <x:f>L18-L20-L22-L23-L10</x:f>
        <x:v>-9875</x:v>
      </x:c>
      <x:c r="M24" s="24" t="n">
        <x:f>M18-M20-M22-M23-M10</x:f>
        <x:v>-8450.000000000002</x:v>
      </x:c>
      <x:c r="N24" s="24" t="n">
        <x:f>N18-N20-N22-N23-N10</x:f>
        <x:v>-7025.000000000001</x:v>
      </x:c>
      <x:c r="O24" s="24" t="n">
        <x:f>O18-O20-O22-O23-O10</x:f>
        <x:v>-5600</x:v>
      </x:c>
      <x:c r="P24" s="24" t="n">
        <x:f>P18-P20-P22-P23-P10</x:f>
        <x:v>-4175.000000000002</x:v>
      </x:c>
      <x:c r="Q24" s="24" t="n">
        <x:f>Q18-Q20-Q22-Q23-Q10</x:f>
        <x:v>-2750</x:v>
      </x:c>
      <x:c r="R24" s="24" t="n">
        <x:f>R18-R20-R22-R23-R10</x:f>
        <x:v>-2750</x:v>
      </x:c>
      <x:c r="S24" s="24" t="n">
        <x:f>S18-S20-S22-S23-S10</x:f>
        <x:v>-1325.000000000001</x:v>
      </x:c>
      <x:c r="T24" s="24" t="n">
        <x:f>T18-T20-T22-T23-T10</x:f>
        <x:v>-1325.000000000001</x:v>
      </x:c>
      <x:c r="U24" s="24" t="n">
        <x:f>U18-U20-U22-U23-U10</x:f>
        <x:v>99.99999999999784</x:v>
      </x:c>
      <x:c r="V24" s="24" t="n">
        <x:f>V18-V20-V22-V23-V10</x:f>
        <x:v>99.99999999999784</x:v>
      </x:c>
      <x:c r="W24" s="24" t="n">
        <x:f>W18-W20-W22-W23-W10</x:f>
        <x:v>99.99999999999773</x:v>
      </x:c>
      <x:c r="X24" s="24" t="n">
        <x:f>X18-X20-X22-X23-X10</x:f>
        <x:v>1524.9999999999995</x:v>
      </x:c>
      <x:c r="Y24" s="24" t="n">
        <x:f>Y18-Y20-Y22-Y23-Y10</x:f>
        <x:v>1524.9999999999995</x:v>
      </x:c>
      <x:c r="Z24" s="24" t="n">
        <x:f>Z18-Z20-Z22-Z23-Z10</x:f>
        <x:v>1524.9999999999995</x:v>
      </x:c>
      <x:c r="AA24" s="24" t="n">
        <x:f>AA18-AA20-AA22-AA23-AA10</x:f>
        <x:v>2949.999999999998</x:v>
      </x:c>
      <x:c r="AB24" s="24" t="n">
        <x:f>AB18-AB20-AB22-AB23-AB10</x:f>
        <x:v>2949.999999999998</x:v>
      </x:c>
      <x:c r="AC24" s="24" t="n">
        <x:f>AC18-AC20-AC22-AC23-AC10</x:f>
        <x:v>2949.999999999998</x:v>
      </x:c>
      <x:c r="AD24" s="24" t="n">
        <x:f>AD18-AD20-AD22-AD23-AD10</x:f>
        <x:v>4375</x:v>
      </x:c>
      <x:c r="AE24" s="24" t="n">
        <x:f>AE18-AE20-AE22-AE23-AE10</x:f>
        <x:v>4375</x:v>
      </x:c>
      <x:c r="AF24" s="24" t="n">
        <x:f>AF18-AF20-AF22-AF23-AF10</x:f>
        <x:v>4375</x:v>
      </x:c>
      <x:c r="AG24" s="24" t="n">
        <x:f>AG18-AG20-AG22-AG23-AG10</x:f>
        <x:v>4375</x:v>
      </x:c>
      <x:c r="AH24" s="24" t="n">
        <x:f>AH18-AH20-AH22-AH23-AH10</x:f>
        <x:v>4375</x:v>
      </x:c>
      <x:c r="AI24" s="24" t="n">
        <x:f>AI18-AI20-AI22-AI23-AI10</x:f>
        <x:v>4375</x:v>
      </x:c>
      <x:c r="AJ24" s="24" t="n">
        <x:f>AJ18-AJ20-AJ22-AJ23-AJ10</x:f>
        <x:v>4375</x:v>
      </x:c>
      <x:c r="AK24" s="24" t="n">
        <x:f>AK18-AK20-AK22-AK23-AK10</x:f>
        <x:v>4375</x:v>
      </x:c>
      <x:c r="AL24" s="24" t="n">
        <x:f>AL18-AL20-AL22-AL23-AL10</x:f>
        <x:v>4375</x:v>
      </x:c>
      <x:c r="AM24" s="24" t="n">
        <x:f>AM18-AM20-AM22-AM23-AM10</x:f>
        <x:v>4375</x:v>
      </x:c>
      <x:c r="AN24" s="3"/>
    </x:row>
    <x:row r="25" ht="24" customHeight="1">
      <x:c r="A25" s="1"/>
      <x:c r="B25" s="1"/>
      <x:c r="C25" s="1" t="str">
        <x:v>经营利润率</x:v>
      </x:c>
      <x:c r="D25" s="17" t="str">
        <x:f>IF(D14=0,"不适用",D24/D14)</x:f>
        <x:v>不适用</x:v>
      </x:c>
      <x:c r="E25" s="17" t="str">
        <x:f>IF(E14=0,"不适用",E24/E14)</x:f>
        <x:v>不适用</x:v>
      </x:c>
      <x:c r="F25" s="17" t="str">
        <x:f>IF(F14=0,"不适用",F24/F14)</x:f>
        <x:v>不适用</x:v>
      </x:c>
      <x:c r="G25" s="17" t="str">
        <x:f>IF(G14=0,"不适用",G24/G14)</x:f>
        <x:v>不适用</x:v>
      </x:c>
      <x:c r="H25" s="17" t="n">
        <x:f>IF(H14=0,"不适用",H24/H14)</x:f>
        <x:v>-2.3333333333333335</x:v>
      </x:c>
      <x:c r="I25" s="17" t="n">
        <x:f>IF(I14=0,"不适用",I24/I14)</x:f>
        <x:v>-1.5722222222222222</x:v>
      </x:c>
      <x:c r="J25" s="17" t="n">
        <x:f>IF(J14=0,"不适用",J24/J14)</x:f>
        <x:v>-1.0604166666666666</x:v>
      </x:c>
      <x:c r="K25" s="17" t="n">
        <x:f>IF(K14=0,"不适用",K24/K14)</x:f>
        <x:v>-0.7533333333333333</x:v>
      </x:c>
      <x:c r="L25" s="17" t="n">
        <x:f>IF(L14=0,"不适用",L24/L14)</x:f>
        <x:v>-0.5486111111111112</x:v>
      </x:c>
      <x:c r="M25" s="17" t="n">
        <x:f>IF(M14=0,"不适用",M24/M14)</x:f>
        <x:v>-0.40238095238095245</x:v>
      </x:c>
      <x:c r="N25" s="17" t="n">
        <x:f>IF(N14=0,"不适用",N24/N14)</x:f>
        <x:v>-0.29270833333333335</x:v>
      </x:c>
      <x:c r="O25" s="17" t="n">
        <x:f>IF(O14=0,"不适用",O24/O14)</x:f>
        <x:v>-0.2074074074074074</x:v>
      </x:c>
      <x:c r="P25" s="17" t="n">
        <x:f>IF(P14=0,"不适用",P24/P14)</x:f>
        <x:v>-0.13916666666666672</x:v>
      </x:c>
      <x:c r="Q25" s="17" t="n">
        <x:f>IF(Q14=0,"不适用",Q24/Q14)</x:f>
        <x:v>-0.09166666666666666</x:v>
      </x:c>
      <x:c r="R25" s="17" t="n">
        <x:f>IF(R14=0,"不适用",R24/R14)</x:f>
        <x:v>-0.08333333333333333</x:v>
      </x:c>
      <x:c r="S25" s="17" t="n">
        <x:f>IF(S14=0,"不适用",S24/S14)</x:f>
        <x:v>-0.04015151515151518</x:v>
      </x:c>
      <x:c r="T25" s="17" t="n">
        <x:f>IF(T14=0,"不适用",T24/T14)</x:f>
        <x:v>-0.03680555555555558</x:v>
      </x:c>
      <x:c r="U25" s="17" t="n">
        <x:f>IF(U14=0,"不适用",U24/U14)</x:f>
        <x:v>0.0027777777777777176</x:v>
      </x:c>
      <x:c r="V25" s="17" t="n">
        <x:f>IF(V14=0,"不适用",V24/V14)</x:f>
        <x:v>0.0027777777777777176</x:v>
      </x:c>
      <x:c r="W25" s="17" t="n">
        <x:f>IF(W14=0,"不适用",W24/W14)</x:f>
        <x:v>0.002564102564102506</x:v>
      </x:c>
      <x:c r="X25" s="17" t="n">
        <x:f>IF(X14=0,"不适用",X24/X14)</x:f>
        <x:v>0.03910256410256409</x:v>
      </x:c>
      <x:c r="Y25" s="17" t="n">
        <x:f>IF(Y14=0,"不适用",Y24/Y14)</x:f>
        <x:v>0.03910256410256409</x:v>
      </x:c>
      <x:c r="Z25" s="17" t="n">
        <x:f>IF(Z14=0,"不适用",Z24/Z14)</x:f>
        <x:v>0.0363095238095238</x:v>
      </x:c>
      <x:c r="AA25" s="17" t="n">
        <x:f>IF(AA14=0,"不适用",AA24/AA14)</x:f>
        <x:v>0.0702380952380952</x:v>
      </x:c>
      <x:c r="AB25" s="17" t="n">
        <x:f>IF(AB14=0,"不适用",AB24/AB14)</x:f>
        <x:v>0.0702380952380952</x:v>
      </x:c>
      <x:c r="AC25" s="17" t="n">
        <x:f>IF(AC14=0,"不适用",AC24/AC14)</x:f>
        <x:v>0.06555555555555552</x:v>
      </x:c>
      <x:c r="AD25" s="17" t="n">
        <x:f>IF(AD14=0,"不适用",AD24/AD14)</x:f>
        <x:v>0.09722222222222222</x:v>
      </x:c>
      <x:c r="AE25" s="17" t="n">
        <x:f>IF(AE14=0,"不适用",AE24/AE14)</x:f>
        <x:v>0.09722222222222222</x:v>
      </x:c>
      <x:c r="AF25" s="17" t="n">
        <x:f>IF(AF14=0,"不适用",AF24/AF14)</x:f>
        <x:v>0.09722222222222222</x:v>
      </x:c>
      <x:c r="AG25" s="17" t="n">
        <x:f>IF(AG14=0,"不适用",AG24/AG14)</x:f>
        <x:v>0.09722222222222222</x:v>
      </x:c>
      <x:c r="AH25" s="17" t="n">
        <x:f>IF(AH14=0,"不适用",AH24/AH14)</x:f>
        <x:v>0.09722222222222222</x:v>
      </x:c>
      <x:c r="AI25" s="17" t="n">
        <x:f>IF(AI14=0,"不适用",AI24/AI14)</x:f>
        <x:v>0.09722222222222222</x:v>
      </x:c>
      <x:c r="AJ25" s="17" t="n">
        <x:f>IF(AJ14=0,"不适用",AJ24/AJ14)</x:f>
        <x:v>0.09722222222222222</x:v>
      </x:c>
      <x:c r="AK25" s="17" t="n">
        <x:f>IF(AK14=0,"不适用",AK24/AK14)</x:f>
        <x:v>0.09722222222222222</x:v>
      </x:c>
      <x:c r="AL25" s="17" t="n">
        <x:f>IF(AL14=0,"不适用",AL24/AL14)</x:f>
        <x:v>0.09722222222222222</x:v>
      </x:c>
      <x:c r="AM25" s="17" t="n">
        <x:f>IF(AM14=0,"不适用",AM24/AM14)</x:f>
        <x:v>0.09722222222222222</x:v>
      </x:c>
      <x:c r="AN25" s="3"/>
    </x:row>
    <x:row r="26" ht="24" customHeight="1">
      <x:c r="A26" s="1"/>
      <x:c r="B26" s="1"/>
      <x:c r="C26" s="1" t="str">
        <x:v>开发现金支付</x:v>
      </x:c>
      <x:c r="D26" s="15" t="n">
        <x:f>IF(D$5&lt;='假设'!$D$25,('假设'!$D$16+'假设'!$D$17)/'假设'!$D$25,0)</x:f>
        <x:v>47437.5</x:v>
      </x:c>
      <x:c r="E26" s="15" t="n">
        <x:f>IF(E$5&lt;='假设'!$D$25,('假设'!$D$16+'假设'!$D$17)/'假设'!$D$25,0)</x:f>
        <x:v>47437.5</x:v>
      </x:c>
      <x:c r="F26" s="15" t="n">
        <x:f>IF(F$5&lt;='假设'!$D$25,('假设'!$D$16+'假设'!$D$17)/'假设'!$D$25,0)</x:f>
        <x:v>47437.5</x:v>
      </x:c>
      <x:c r="G26" s="15" t="n">
        <x:f>IF(G$5&lt;='假设'!$D$25,('假设'!$D$16+'假设'!$D$17)/'假设'!$D$25,0)</x:f>
        <x:v>47437.5</x:v>
      </x:c>
      <x:c r="H26" s="15" t="n">
        <x:f>IF(H$5&lt;='假设'!$D$25,('假设'!$D$16+'假设'!$D$17)/'假设'!$D$25,0)</x:f>
        <x:v>0</x:v>
      </x:c>
      <x:c r="I26" s="15" t="n">
        <x:f>IF(I$5&lt;='假设'!$D$25,('假设'!$D$16+'假设'!$D$17)/'假设'!$D$25,0)</x:f>
        <x:v>0</x:v>
      </x:c>
      <x:c r="J26" s="15" t="n">
        <x:f>IF(J$5&lt;='假设'!$D$25,('假设'!$D$16+'假设'!$D$17)/'假设'!$D$25,0)</x:f>
        <x:v>0</x:v>
      </x:c>
      <x:c r="K26" s="15" t="n">
        <x:f>IF(K$5&lt;='假设'!$D$25,('假设'!$D$16+'假设'!$D$17)/'假设'!$D$25,0)</x:f>
        <x:v>0</x:v>
      </x:c>
      <x:c r="L26" s="15" t="n">
        <x:f>IF(L$5&lt;='假设'!$D$25,('假设'!$D$16+'假设'!$D$17)/'假设'!$D$25,0)</x:f>
        <x:v>0</x:v>
      </x:c>
      <x:c r="M26" s="15" t="n">
        <x:f>IF(M$5&lt;='假设'!$D$25,('假设'!$D$16+'假设'!$D$17)/'假设'!$D$25,0)</x:f>
        <x:v>0</x:v>
      </x:c>
      <x:c r="N26" s="15" t="n">
        <x:f>IF(N$5&lt;='假设'!$D$25,('假设'!$D$16+'假设'!$D$17)/'假设'!$D$25,0)</x:f>
        <x:v>0</x:v>
      </x:c>
      <x:c r="O26" s="15" t="n">
        <x:f>IF(O$5&lt;='假设'!$D$25,('假设'!$D$16+'假设'!$D$17)/'假设'!$D$25,0)</x:f>
        <x:v>0</x:v>
      </x:c>
      <x:c r="P26" s="15" t="n">
        <x:f>IF(P$5&lt;='假设'!$D$25,('假设'!$D$16+'假设'!$D$17)/'假设'!$D$25,0)</x:f>
        <x:v>0</x:v>
      </x:c>
      <x:c r="Q26" s="15" t="n">
        <x:f>IF(Q$5&lt;='假设'!$D$25,('假设'!$D$16+'假设'!$D$17)/'假设'!$D$25,0)</x:f>
        <x:v>0</x:v>
      </x:c>
      <x:c r="R26" s="15" t="n">
        <x:f>IF(R$5&lt;='假设'!$D$25,('假设'!$D$16+'假设'!$D$17)/'假设'!$D$25,0)</x:f>
        <x:v>0</x:v>
      </x:c>
      <x:c r="S26" s="15" t="n">
        <x:f>IF(S$5&lt;='假设'!$D$25,('假设'!$D$16+'假设'!$D$17)/'假设'!$D$25,0)</x:f>
        <x:v>0</x:v>
      </x:c>
      <x:c r="T26" s="15" t="n">
        <x:f>IF(T$5&lt;='假设'!$D$25,('假设'!$D$16+'假设'!$D$17)/'假设'!$D$25,0)</x:f>
        <x:v>0</x:v>
      </x:c>
      <x:c r="U26" s="15" t="n">
        <x:f>IF(U$5&lt;='假设'!$D$25,('假设'!$D$16+'假设'!$D$17)/'假设'!$D$25,0)</x:f>
        <x:v>0</x:v>
      </x:c>
      <x:c r="V26" s="15" t="n">
        <x:f>IF(V$5&lt;='假设'!$D$25,('假设'!$D$16+'假设'!$D$17)/'假设'!$D$25,0)</x:f>
        <x:v>0</x:v>
      </x:c>
      <x:c r="W26" s="15" t="n">
        <x:f>IF(W$5&lt;='假设'!$D$25,('假设'!$D$16+'假设'!$D$17)/'假设'!$D$25,0)</x:f>
        <x:v>0</x:v>
      </x:c>
      <x:c r="X26" s="15" t="n">
        <x:f>IF(X$5&lt;='假设'!$D$25,('假设'!$D$16+'假设'!$D$17)/'假设'!$D$25,0)</x:f>
        <x:v>0</x:v>
      </x:c>
      <x:c r="Y26" s="15" t="n">
        <x:f>IF(Y$5&lt;='假设'!$D$25,('假设'!$D$16+'假设'!$D$17)/'假设'!$D$25,0)</x:f>
        <x:v>0</x:v>
      </x:c>
      <x:c r="Z26" s="15" t="n">
        <x:f>IF(Z$5&lt;='假设'!$D$25,('假设'!$D$16+'假设'!$D$17)/'假设'!$D$25,0)</x:f>
        <x:v>0</x:v>
      </x:c>
      <x:c r="AA26" s="15" t="n">
        <x:f>IF(AA$5&lt;='假设'!$D$25,('假设'!$D$16+'假设'!$D$17)/'假设'!$D$25,0)</x:f>
        <x:v>0</x:v>
      </x:c>
      <x:c r="AB26" s="15" t="n">
        <x:f>IF(AB$5&lt;='假设'!$D$25,('假设'!$D$16+'假设'!$D$17)/'假设'!$D$25,0)</x:f>
        <x:v>0</x:v>
      </x:c>
      <x:c r="AC26" s="15" t="n">
        <x:f>IF(AC$5&lt;='假设'!$D$25,('假设'!$D$16+'假设'!$D$17)/'假设'!$D$25,0)</x:f>
        <x:v>0</x:v>
      </x:c>
      <x:c r="AD26" s="15" t="n">
        <x:f>IF(AD$5&lt;='假设'!$D$25,('假设'!$D$16+'假设'!$D$17)/'假设'!$D$25,0)</x:f>
        <x:v>0</x:v>
      </x:c>
      <x:c r="AE26" s="15" t="n">
        <x:f>IF(AE$5&lt;='假设'!$D$25,('假设'!$D$16+'假设'!$D$17)/'假设'!$D$25,0)</x:f>
        <x:v>0</x:v>
      </x:c>
      <x:c r="AF26" s="15" t="n">
        <x:f>IF(AF$5&lt;='假设'!$D$25,('假设'!$D$16+'假设'!$D$17)/'假设'!$D$25,0)</x:f>
        <x:v>0</x:v>
      </x:c>
      <x:c r="AG26" s="15" t="n">
        <x:f>IF(AG$5&lt;='假设'!$D$25,('假设'!$D$16+'假设'!$D$17)/'假设'!$D$25,0)</x:f>
        <x:v>0</x:v>
      </x:c>
      <x:c r="AH26" s="15" t="n">
        <x:f>IF(AH$5&lt;='假设'!$D$25,('假设'!$D$16+'假设'!$D$17)/'假设'!$D$25,0)</x:f>
        <x:v>0</x:v>
      </x:c>
      <x:c r="AI26" s="15" t="n">
        <x:f>IF(AI$5&lt;='假设'!$D$25,('假设'!$D$16+'假设'!$D$17)/'假设'!$D$25,0)</x:f>
        <x:v>0</x:v>
      </x:c>
      <x:c r="AJ26" s="15" t="n">
        <x:f>IF(AJ$5&lt;='假设'!$D$25,('假设'!$D$16+'假设'!$D$17)/'假设'!$D$25,0)</x:f>
        <x:v>0</x:v>
      </x:c>
      <x:c r="AK26" s="15" t="n">
        <x:f>IF(AK$5&lt;='假设'!$D$25,('假设'!$D$16+'假设'!$D$17)/'假设'!$D$25,0)</x:f>
        <x:v>0</x:v>
      </x:c>
      <x:c r="AL26" s="15" t="n">
        <x:f>IF(AL$5&lt;='假设'!$D$25,('假设'!$D$16+'假设'!$D$17)/'假设'!$D$25,0)</x:f>
        <x:v>0</x:v>
      </x:c>
      <x:c r="AM26" s="15" t="n">
        <x:f>IF(AM$5&lt;='假设'!$D$25,('假设'!$D$16+'假设'!$D$17)/'假设'!$D$25,0)</x:f>
        <x:v>0</x:v>
      </x:c>
      <x:c r="AN26" s="3"/>
    </x:row>
    <x:row r="27" ht="24" customHeight="1">
      <x:c r="A27" s="1"/>
      <x:c r="B27" s="1"/>
      <x:c r="C27" s="1" t="str">
        <x:v>一次性启动现金支出</x:v>
      </x:c>
      <x:c r="D27" s="15" t="n">
        <x:f>IF(D$5='假设'!$D$25+1,'假设'!$D$19,0)</x:f>
        <x:v>0</x:v>
      </x:c>
      <x:c r="E27" s="15" t="n">
        <x:f>IF(E$5='假设'!$D$25+1,'假设'!$D$19,0)</x:f>
        <x:v>0</x:v>
      </x:c>
      <x:c r="F27" s="15" t="n">
        <x:f>IF(F$5='假设'!$D$25+1,'假设'!$D$19,0)</x:f>
        <x:v>0</x:v>
      </x:c>
      <x:c r="G27" s="15" t="n">
        <x:f>IF(G$5='假设'!$D$25+1,'假设'!$D$19,0)</x:f>
        <x:v>0</x:v>
      </x:c>
      <x:c r="H27" s="15" t="n">
        <x:f>IF(H$5='假设'!$D$25+1,'假设'!$D$19,0)</x:f>
        <x:v>50000</x:v>
      </x:c>
      <x:c r="I27" s="15" t="n">
        <x:f>IF(I$5='假设'!$D$25+1,'假设'!$D$19,0)</x:f>
        <x:v>0</x:v>
      </x:c>
      <x:c r="J27" s="15" t="n">
        <x:f>IF(J$5='假设'!$D$25+1,'假设'!$D$19,0)</x:f>
        <x:v>0</x:v>
      </x:c>
      <x:c r="K27" s="15" t="n">
        <x:f>IF(K$5='假设'!$D$25+1,'假设'!$D$19,0)</x:f>
        <x:v>0</x:v>
      </x:c>
      <x:c r="L27" s="15" t="n">
        <x:f>IF(L$5='假设'!$D$25+1,'假设'!$D$19,0)</x:f>
        <x:v>0</x:v>
      </x:c>
      <x:c r="M27" s="15" t="n">
        <x:f>IF(M$5='假设'!$D$25+1,'假设'!$D$19,0)</x:f>
        <x:v>0</x:v>
      </x:c>
      <x:c r="N27" s="15" t="n">
        <x:f>IF(N$5='假设'!$D$25+1,'假设'!$D$19,0)</x:f>
        <x:v>0</x:v>
      </x:c>
      <x:c r="O27" s="15" t="n">
        <x:f>IF(O$5='假设'!$D$25+1,'假设'!$D$19,0)</x:f>
        <x:v>0</x:v>
      </x:c>
      <x:c r="P27" s="15" t="n">
        <x:f>IF(P$5='假设'!$D$25+1,'假设'!$D$19,0)</x:f>
        <x:v>0</x:v>
      </x:c>
      <x:c r="Q27" s="15" t="n">
        <x:f>IF(Q$5='假设'!$D$25+1,'假设'!$D$19,0)</x:f>
        <x:v>0</x:v>
      </x:c>
      <x:c r="R27" s="15" t="n">
        <x:f>IF(R$5='假设'!$D$25+1,'假设'!$D$19,0)</x:f>
        <x:v>0</x:v>
      </x:c>
      <x:c r="S27" s="15" t="n">
        <x:f>IF(S$5='假设'!$D$25+1,'假设'!$D$19,0)</x:f>
        <x:v>0</x:v>
      </x:c>
      <x:c r="T27" s="15" t="n">
        <x:f>IF(T$5='假设'!$D$25+1,'假设'!$D$19,0)</x:f>
        <x:v>0</x:v>
      </x:c>
      <x:c r="U27" s="15" t="n">
        <x:f>IF(U$5='假设'!$D$25+1,'假设'!$D$19,0)</x:f>
        <x:v>0</x:v>
      </x:c>
      <x:c r="V27" s="15" t="n">
        <x:f>IF(V$5='假设'!$D$25+1,'假设'!$D$19,0)</x:f>
        <x:v>0</x:v>
      </x:c>
      <x:c r="W27" s="15" t="n">
        <x:f>IF(W$5='假设'!$D$25+1,'假设'!$D$19,0)</x:f>
        <x:v>0</x:v>
      </x:c>
      <x:c r="X27" s="15" t="n">
        <x:f>IF(X$5='假设'!$D$25+1,'假设'!$D$19,0)</x:f>
        <x:v>0</x:v>
      </x:c>
      <x:c r="Y27" s="15" t="n">
        <x:f>IF(Y$5='假设'!$D$25+1,'假设'!$D$19,0)</x:f>
        <x:v>0</x:v>
      </x:c>
      <x:c r="Z27" s="15" t="n">
        <x:f>IF(Z$5='假设'!$D$25+1,'假设'!$D$19,0)</x:f>
        <x:v>0</x:v>
      </x:c>
      <x:c r="AA27" s="15" t="n">
        <x:f>IF(AA$5='假设'!$D$25+1,'假设'!$D$19,0)</x:f>
        <x:v>0</x:v>
      </x:c>
      <x:c r="AB27" s="15" t="n">
        <x:f>IF(AB$5='假设'!$D$25+1,'假设'!$D$19,0)</x:f>
        <x:v>0</x:v>
      </x:c>
      <x:c r="AC27" s="15" t="n">
        <x:f>IF(AC$5='假设'!$D$25+1,'假设'!$D$19,0)</x:f>
        <x:v>0</x:v>
      </x:c>
      <x:c r="AD27" s="15" t="n">
        <x:f>IF(AD$5='假设'!$D$25+1,'假设'!$D$19,0)</x:f>
        <x:v>0</x:v>
      </x:c>
      <x:c r="AE27" s="15" t="n">
        <x:f>IF(AE$5='假设'!$D$25+1,'假设'!$D$19,0)</x:f>
        <x:v>0</x:v>
      </x:c>
      <x:c r="AF27" s="15" t="n">
        <x:f>IF(AF$5='假设'!$D$25+1,'假设'!$D$19,0)</x:f>
        <x:v>0</x:v>
      </x:c>
      <x:c r="AG27" s="15" t="n">
        <x:f>IF(AG$5='假设'!$D$25+1,'假设'!$D$19,0)</x:f>
        <x:v>0</x:v>
      </x:c>
      <x:c r="AH27" s="15" t="n">
        <x:f>IF(AH$5='假设'!$D$25+1,'假设'!$D$19,0)</x:f>
        <x:v>0</x:v>
      </x:c>
      <x:c r="AI27" s="15" t="n">
        <x:f>IF(AI$5='假设'!$D$25+1,'假设'!$D$19,0)</x:f>
        <x:v>0</x:v>
      </x:c>
      <x:c r="AJ27" s="15" t="n">
        <x:f>IF(AJ$5='假设'!$D$25+1,'假设'!$D$19,0)</x:f>
        <x:v>0</x:v>
      </x:c>
      <x:c r="AK27" s="15" t="n">
        <x:f>IF(AK$5='假设'!$D$25+1,'假设'!$D$19,0)</x:f>
        <x:v>0</x:v>
      </x:c>
      <x:c r="AL27" s="15" t="n">
        <x:f>IF(AL$5='假设'!$D$25+1,'假设'!$D$19,0)</x:f>
        <x:v>0</x:v>
      </x:c>
      <x:c r="AM27" s="15" t="n">
        <x:f>IF(AM$5='假设'!$D$25+1,'假设'!$D$19,0)</x:f>
        <x:v>0</x:v>
      </x:c>
      <x:c r="AN27" s="3"/>
    </x:row>
    <x:row r="28" ht="24" customHeight="1">
      <x:c r="A28" s="1"/>
      <x:c r="B28" s="1"/>
      <x:c r="C28" s="22" t="str">
        <x:v>融资前税前现金流</x:v>
      </x:c>
      <x:c r="D28" s="24" t="n">
        <x:f>D24-D26-D27-D14+D33</x:f>
        <x:v>-59437.5</x:v>
      </x:c>
      <x:c r="E28" s="24" t="n">
        <x:f>E24-E26-E27-E14+E33</x:f>
        <x:v>-59437.5</x:v>
      </x:c>
      <x:c r="F28" s="24" t="n">
        <x:f>F24-F26-F27-F14+F33</x:f>
        <x:v>-59437.5</x:v>
      </x:c>
      <x:c r="G28" s="24" t="n">
        <x:f>G24-G26-G27-G14+G33</x:f>
        <x:v>-59437.5</x:v>
      </x:c>
      <x:c r="H28" s="24" t="n">
        <x:f>H24-H26-H27-H14+H33</x:f>
        <x:v>-64000</x:v>
      </x:c>
      <x:c r="I28" s="24" t="n">
        <x:f>I24-I26-I27-I14+I33</x:f>
        <x:v>-14150</x:v>
      </x:c>
      <x:c r="J28" s="24" t="n">
        <x:f>J24-J26-J27-J14+J33</x:f>
        <x:v>-12725</x:v>
      </x:c>
      <x:c r="K28" s="24" t="n">
        <x:f>K24-K26-K27-K14+K33</x:f>
        <x:v>-11300</x:v>
      </x:c>
      <x:c r="L28" s="24" t="n">
        <x:f>L24-L26-L27-L14+L33</x:f>
        <x:v>-9875</x:v>
      </x:c>
      <x:c r="M28" s="24" t="n">
        <x:f>M24-M26-M27-M14+M33</x:f>
        <x:v>-8450</x:v>
      </x:c>
      <x:c r="N28" s="24" t="n">
        <x:f>N24-N26-N27-N14+N33</x:f>
        <x:v>-7025</x:v>
      </x:c>
      <x:c r="O28" s="24" t="n">
        <x:f>O24-O26-O27-O14+O33</x:f>
        <x:v>-5600</x:v>
      </x:c>
      <x:c r="P28" s="24" t="n">
        <x:f>P24-P26-P27-P14+P33</x:f>
        <x:v>-4175</x:v>
      </x:c>
      <x:c r="Q28" s="24" t="n">
        <x:f>Q24-Q26-Q27-Q14+Q33</x:f>
        <x:v>-2750</x:v>
      </x:c>
      <x:c r="R28" s="24" t="n">
        <x:f>R24-R26-R27-R14+R33</x:f>
        <x:v>-2750</x:v>
      </x:c>
      <x:c r="S28" s="24" t="n">
        <x:f>S24-S26-S27-S14+S33</x:f>
        <x:v>-1325</x:v>
      </x:c>
      <x:c r="T28" s="24" t="n">
        <x:f>T24-T26-T27-T14+T33</x:f>
        <x:v>-1325</x:v>
      </x:c>
      <x:c r="U28" s="24" t="n">
        <x:f>U24-U26-U27-U14+U33</x:f>
        <x:v>100</x:v>
      </x:c>
      <x:c r="V28" s="24" t="n">
        <x:f>V24-V26-V27-V14+V33</x:f>
        <x:v>100</x:v>
      </x:c>
      <x:c r="W28" s="24" t="n">
        <x:f>W24-W26-W27-W14+W33</x:f>
        <x:v>100</x:v>
      </x:c>
      <x:c r="X28" s="24" t="n">
        <x:f>X24-X26-X27-X14+X33</x:f>
        <x:v>1525</x:v>
      </x:c>
      <x:c r="Y28" s="24" t="n">
        <x:f>Y24-Y26-Y27-Y14+Y33</x:f>
        <x:v>1525</x:v>
      </x:c>
      <x:c r="Z28" s="24" t="n">
        <x:f>Z24-Z26-Z27-Z14+Z33</x:f>
        <x:v>1525</x:v>
      </x:c>
      <x:c r="AA28" s="24" t="n">
        <x:f>AA24-AA26-AA27-AA14+AA33</x:f>
        <x:v>2950</x:v>
      </x:c>
      <x:c r="AB28" s="24" t="n">
        <x:f>AB24-AB26-AB27-AB14+AB33</x:f>
        <x:v>2950</x:v>
      </x:c>
      <x:c r="AC28" s="24" t="n">
        <x:f>AC24-AC26-AC27-AC14+AC33</x:f>
        <x:v>2950</x:v>
      </x:c>
      <x:c r="AD28" s="24" t="n">
        <x:f>AD24-AD26-AD27-AD14+AD33</x:f>
        <x:v>4375</x:v>
      </x:c>
      <x:c r="AE28" s="24" t="n">
        <x:f>AE24-AE26-AE27-AE14+AE33</x:f>
        <x:v>4375</x:v>
      </x:c>
      <x:c r="AF28" s="24" t="n">
        <x:f>AF24-AF26-AF27-AF14+AF33</x:f>
        <x:v>4375</x:v>
      </x:c>
      <x:c r="AG28" s="24" t="n">
        <x:f>AG24-AG26-AG27-AG14+AG33</x:f>
        <x:v>4375</x:v>
      </x:c>
      <x:c r="AH28" s="24" t="n">
        <x:f>AH24-AH26-AH27-AH14+AH33</x:f>
        <x:v>4375</x:v>
      </x:c>
      <x:c r="AI28" s="24" t="n">
        <x:f>AI24-AI26-AI27-AI14+AI33</x:f>
        <x:v>4375</x:v>
      </x:c>
      <x:c r="AJ28" s="24" t="n">
        <x:f>AJ24-AJ26-AJ27-AJ14+AJ33</x:f>
        <x:v>4375</x:v>
      </x:c>
      <x:c r="AK28" s="24" t="n">
        <x:f>AK24-AK26-AK27-AK14+AK33</x:f>
        <x:v>4375</x:v>
      </x:c>
      <x:c r="AL28" s="24" t="n">
        <x:f>AL24-AL26-AL27-AL14+AL33</x:f>
        <x:v>4375</x:v>
      </x:c>
      <x:c r="AM28" s="24" t="n">
        <x:f>AM24-AM26-AM27-AM14+AM33</x:f>
        <x:v>4375</x:v>
      </x:c>
      <x:c r="AN28" s="3"/>
    </x:row>
    <x:row r="29" ht="24" customHeight="1">
      <x:c r="A29" s="1"/>
      <x:c r="B29" s="1"/>
      <x:c r="C29" s="22" t="str">
        <x:v>累计公司现金流</x:v>
      </x:c>
      <x:c r="D29" s="24" t="n">
        <x:f>D28</x:f>
        <x:v>-59437.5</x:v>
      </x:c>
      <x:c r="E29" s="24" t="n">
        <x:f>D29+E28</x:f>
        <x:v>-118875</x:v>
      </x:c>
      <x:c r="F29" s="24" t="n">
        <x:f>E29+F28</x:f>
        <x:v>-178312.5</x:v>
      </x:c>
      <x:c r="G29" s="24" t="n">
        <x:f>F29+G28</x:f>
        <x:v>-237750</x:v>
      </x:c>
      <x:c r="H29" s="24" t="n">
        <x:f>G29+H28</x:f>
        <x:v>-301750</x:v>
      </x:c>
      <x:c r="I29" s="24" t="n">
        <x:f>H29+I28</x:f>
        <x:v>-315900</x:v>
      </x:c>
      <x:c r="J29" s="24" t="n">
        <x:f>I29+J28</x:f>
        <x:v>-328625</x:v>
      </x:c>
      <x:c r="K29" s="24" t="n">
        <x:f>J29+K28</x:f>
        <x:v>-339925</x:v>
      </x:c>
      <x:c r="L29" s="24" t="n">
        <x:f>K29+L28</x:f>
        <x:v>-349800</x:v>
      </x:c>
      <x:c r="M29" s="24" t="n">
        <x:f>L29+M28</x:f>
        <x:v>-358250</x:v>
      </x:c>
      <x:c r="N29" s="24" t="n">
        <x:f>M29+N28</x:f>
        <x:v>-365275</x:v>
      </x:c>
      <x:c r="O29" s="24" t="n">
        <x:f>N29+O28</x:f>
        <x:v>-370875</x:v>
      </x:c>
      <x:c r="P29" s="24" t="n">
        <x:f>O29+P28</x:f>
        <x:v>-375050</x:v>
      </x:c>
      <x:c r="Q29" s="24" t="n">
        <x:f>P29+Q28</x:f>
        <x:v>-377800</x:v>
      </x:c>
      <x:c r="R29" s="24" t="n">
        <x:f>Q29+R28</x:f>
        <x:v>-380550</x:v>
      </x:c>
      <x:c r="S29" s="24" t="n">
        <x:f>R29+S28</x:f>
        <x:v>-381875</x:v>
      </x:c>
      <x:c r="T29" s="24" t="n">
        <x:f>S29+T28</x:f>
        <x:v>-383200</x:v>
      </x:c>
      <x:c r="U29" s="24" t="n">
        <x:f>T29+U28</x:f>
        <x:v>-383100</x:v>
      </x:c>
      <x:c r="V29" s="24" t="n">
        <x:f>U29+V28</x:f>
        <x:v>-383000</x:v>
      </x:c>
      <x:c r="W29" s="24" t="n">
        <x:f>V29+W28</x:f>
        <x:v>-382900</x:v>
      </x:c>
      <x:c r="X29" s="24" t="n">
        <x:f>W29+X28</x:f>
        <x:v>-381375</x:v>
      </x:c>
      <x:c r="Y29" s="24" t="n">
        <x:f>X29+Y28</x:f>
        <x:v>-379850</x:v>
      </x:c>
      <x:c r="Z29" s="24" t="n">
        <x:f>Y29+Z28</x:f>
        <x:v>-378325</x:v>
      </x:c>
      <x:c r="AA29" s="24" t="n">
        <x:f>Z29+AA28</x:f>
        <x:v>-375375</x:v>
      </x:c>
      <x:c r="AB29" s="24" t="n">
        <x:f>AA29+AB28</x:f>
        <x:v>-372425</x:v>
      </x:c>
      <x:c r="AC29" s="24" t="n">
        <x:f>AB29+AC28</x:f>
        <x:v>-369475</x:v>
      </x:c>
      <x:c r="AD29" s="24" t="n">
        <x:f>AC29+AD28</x:f>
        <x:v>-365100</x:v>
      </x:c>
      <x:c r="AE29" s="24" t="n">
        <x:f>AD29+AE28</x:f>
        <x:v>-360725</x:v>
      </x:c>
      <x:c r="AF29" s="24" t="n">
        <x:f>AE29+AF28</x:f>
        <x:v>-356350</x:v>
      </x:c>
      <x:c r="AG29" s="24" t="n">
        <x:f>AF29+AG28</x:f>
        <x:v>-351975</x:v>
      </x:c>
      <x:c r="AH29" s="24" t="n">
        <x:f>AG29+AH28</x:f>
        <x:v>-347600</x:v>
      </x:c>
      <x:c r="AI29" s="24" t="n">
        <x:f>AH29+AI28</x:f>
        <x:v>-343225</x:v>
      </x:c>
      <x:c r="AJ29" s="24" t="n">
        <x:f>AI29+AJ28</x:f>
        <x:v>-338850</x:v>
      </x:c>
      <x:c r="AK29" s="24" t="n">
        <x:f>AJ29+AK28</x:f>
        <x:v>-334475</x:v>
      </x:c>
      <x:c r="AL29" s="24" t="n">
        <x:f>AK29+AL28</x:f>
        <x:v>-330100</x:v>
      </x:c>
      <x:c r="AM29" s="24" t="n">
        <x:f>AL29+AM28</x:f>
        <x:v>-325725</x:v>
      </x:c>
      <x:c r="AN29" s="3"/>
    </x:row>
    <x:row r="30" ht="24" customHeight="1">
      <x:c r="A30" s="1"/>
      <x:c r="B30" s="1"/>
      <x:c r="C30" s="1" t="str">
        <x:v>含期初现金的余额</x:v>
      </x:c>
      <x:c r="D30" s="15" t="n">
        <x:f>'假设'!$D$23+D29</x:f>
        <x:v>-59437.5</x:v>
      </x:c>
      <x:c r="E30" s="15" t="n">
        <x:f>'假设'!$D$23+E29</x:f>
        <x:v>-118875</x:v>
      </x:c>
      <x:c r="F30" s="15" t="n">
        <x:f>'假设'!$D$23+F29</x:f>
        <x:v>-178312.5</x:v>
      </x:c>
      <x:c r="G30" s="15" t="n">
        <x:f>'假设'!$D$23+G29</x:f>
        <x:v>-237750</x:v>
      </x:c>
      <x:c r="H30" s="15" t="n">
        <x:f>'假设'!$D$23+H29</x:f>
        <x:v>-301750</x:v>
      </x:c>
      <x:c r="I30" s="15" t="n">
        <x:f>'假设'!$D$23+I29</x:f>
        <x:v>-315900</x:v>
      </x:c>
      <x:c r="J30" s="15" t="n">
        <x:f>'假设'!$D$23+J29</x:f>
        <x:v>-328625</x:v>
      </x:c>
      <x:c r="K30" s="15" t="n">
        <x:f>'假设'!$D$23+K29</x:f>
        <x:v>-339925</x:v>
      </x:c>
      <x:c r="L30" s="15" t="n">
        <x:f>'假设'!$D$23+L29</x:f>
        <x:v>-349800</x:v>
      </x:c>
      <x:c r="M30" s="15" t="n">
        <x:f>'假设'!$D$23+M29</x:f>
        <x:v>-358250</x:v>
      </x:c>
      <x:c r="N30" s="15" t="n">
        <x:f>'假设'!$D$23+N29</x:f>
        <x:v>-365275</x:v>
      </x:c>
      <x:c r="O30" s="15" t="n">
        <x:f>'假设'!$D$23+O29</x:f>
        <x:v>-370875</x:v>
      </x:c>
      <x:c r="P30" s="15" t="n">
        <x:f>'假设'!$D$23+P29</x:f>
        <x:v>-375050</x:v>
      </x:c>
      <x:c r="Q30" s="15" t="n">
        <x:f>'假设'!$D$23+Q29</x:f>
        <x:v>-377800</x:v>
      </x:c>
      <x:c r="R30" s="15" t="n">
        <x:f>'假设'!$D$23+R29</x:f>
        <x:v>-380550</x:v>
      </x:c>
      <x:c r="S30" s="15" t="n">
        <x:f>'假设'!$D$23+S29</x:f>
        <x:v>-381875</x:v>
      </x:c>
      <x:c r="T30" s="15" t="n">
        <x:f>'假设'!$D$23+T29</x:f>
        <x:v>-383200</x:v>
      </x:c>
      <x:c r="U30" s="15" t="n">
        <x:f>'假设'!$D$23+U29</x:f>
        <x:v>-383100</x:v>
      </x:c>
      <x:c r="V30" s="15" t="n">
        <x:f>'假设'!$D$23+V29</x:f>
        <x:v>-383000</x:v>
      </x:c>
      <x:c r="W30" s="15" t="n">
        <x:f>'假设'!$D$23+W29</x:f>
        <x:v>-382900</x:v>
      </x:c>
      <x:c r="X30" s="15" t="n">
        <x:f>'假设'!$D$23+X29</x:f>
        <x:v>-381375</x:v>
      </x:c>
      <x:c r="Y30" s="15" t="n">
        <x:f>'假设'!$D$23+Y29</x:f>
        <x:v>-379850</x:v>
      </x:c>
      <x:c r="Z30" s="15" t="n">
        <x:f>'假设'!$D$23+Z29</x:f>
        <x:v>-378325</x:v>
      </x:c>
      <x:c r="AA30" s="15" t="n">
        <x:f>'假设'!$D$23+AA29</x:f>
        <x:v>-375375</x:v>
      </x:c>
      <x:c r="AB30" s="15" t="n">
        <x:f>'假设'!$D$23+AB29</x:f>
        <x:v>-372425</x:v>
      </x:c>
      <x:c r="AC30" s="15" t="n">
        <x:f>'假设'!$D$23+AC29</x:f>
        <x:v>-369475</x:v>
      </x:c>
      <x:c r="AD30" s="15" t="n">
        <x:f>'假设'!$D$23+AD29</x:f>
        <x:v>-365100</x:v>
      </x:c>
      <x:c r="AE30" s="15" t="n">
        <x:f>'假设'!$D$23+AE29</x:f>
        <x:v>-360725</x:v>
      </x:c>
      <x:c r="AF30" s="15" t="n">
        <x:f>'假设'!$D$23+AF29</x:f>
        <x:v>-356350</x:v>
      </x:c>
      <x:c r="AG30" s="15" t="n">
        <x:f>'假设'!$D$23+AG29</x:f>
        <x:v>-351975</x:v>
      </x:c>
      <x:c r="AH30" s="15" t="n">
        <x:f>'假设'!$D$23+AH29</x:f>
        <x:v>-347600</x:v>
      </x:c>
      <x:c r="AI30" s="15" t="n">
        <x:f>'假设'!$D$23+AI29</x:f>
        <x:v>-343225</x:v>
      </x:c>
      <x:c r="AJ30" s="15" t="n">
        <x:f>'假设'!$D$23+AJ29</x:f>
        <x:v>-338850</x:v>
      </x:c>
      <x:c r="AK30" s="15" t="n">
        <x:f>'假设'!$D$23+AK29</x:f>
        <x:v>-334475</x:v>
      </x:c>
      <x:c r="AL30" s="15" t="n">
        <x:f>'假设'!$D$23+AL29</x:f>
        <x:v>-330100</x:v>
      </x:c>
      <x:c r="AM30" s="15" t="n">
        <x:f>'假设'!$D$23+AM29</x:f>
        <x:v>-325725</x:v>
      </x:c>
      <x:c r="AN30" s="3"/>
    </x:row>
    <x:row r="31" ht="24" customHeight="1">
      <x:c r="A31" s="1"/>
      <x:c r="B31" s="1"/>
      <x:c r="C31" s="1" t="str">
        <x:v>累计回本月标记</x:v>
      </x:c>
      <x:c r="D31" s="15" t="n">
        <x:f>IF(AND(D$5&gt;'假设'!$D$25,D29&gt;=0),D$5,999)</x:f>
        <x:v>999</x:v>
      </x:c>
      <x:c r="E31" s="15" t="n">
        <x:f>IF(AND(E$5&gt;'假设'!$D$25,E29&gt;=0),E$5,999)</x:f>
        <x:v>999</x:v>
      </x:c>
      <x:c r="F31" s="15" t="n">
        <x:f>IF(AND(F$5&gt;'假设'!$D$25,F29&gt;=0),F$5,999)</x:f>
        <x:v>999</x:v>
      </x:c>
      <x:c r="G31" s="15" t="n">
        <x:f>IF(AND(G$5&gt;'假设'!$D$25,G29&gt;=0),G$5,999)</x:f>
        <x:v>999</x:v>
      </x:c>
      <x:c r="H31" s="15" t="n">
        <x:f>IF(AND(H$5&gt;'假设'!$D$25,H29&gt;=0),H$5,999)</x:f>
        <x:v>999</x:v>
      </x:c>
      <x:c r="I31" s="15" t="n">
        <x:f>IF(AND(I$5&gt;'假设'!$D$25,I29&gt;=0),I$5,999)</x:f>
        <x:v>999</x:v>
      </x:c>
      <x:c r="J31" s="15" t="n">
        <x:f>IF(AND(J$5&gt;'假设'!$D$25,J29&gt;=0),J$5,999)</x:f>
        <x:v>999</x:v>
      </x:c>
      <x:c r="K31" s="15" t="n">
        <x:f>IF(AND(K$5&gt;'假设'!$D$25,K29&gt;=0),K$5,999)</x:f>
        <x:v>999</x:v>
      </x:c>
      <x:c r="L31" s="15" t="n">
        <x:f>IF(AND(L$5&gt;'假设'!$D$25,L29&gt;=0),L$5,999)</x:f>
        <x:v>999</x:v>
      </x:c>
      <x:c r="M31" s="15" t="n">
        <x:f>IF(AND(M$5&gt;'假设'!$D$25,M29&gt;=0),M$5,999)</x:f>
        <x:v>999</x:v>
      </x:c>
      <x:c r="N31" s="15" t="n">
        <x:f>IF(AND(N$5&gt;'假设'!$D$25,N29&gt;=0),N$5,999)</x:f>
        <x:v>999</x:v>
      </x:c>
      <x:c r="O31" s="15" t="n">
        <x:f>IF(AND(O$5&gt;'假设'!$D$25,O29&gt;=0),O$5,999)</x:f>
        <x:v>999</x:v>
      </x:c>
      <x:c r="P31" s="15" t="n">
        <x:f>IF(AND(P$5&gt;'假设'!$D$25,P29&gt;=0),P$5,999)</x:f>
        <x:v>999</x:v>
      </x:c>
      <x:c r="Q31" s="15" t="n">
        <x:f>IF(AND(Q$5&gt;'假设'!$D$25,Q29&gt;=0),Q$5,999)</x:f>
        <x:v>999</x:v>
      </x:c>
      <x:c r="R31" s="15" t="n">
        <x:f>IF(AND(R$5&gt;'假设'!$D$25,R29&gt;=0),R$5,999)</x:f>
        <x:v>999</x:v>
      </x:c>
      <x:c r="S31" s="15" t="n">
        <x:f>IF(AND(S$5&gt;'假设'!$D$25,S29&gt;=0),S$5,999)</x:f>
        <x:v>999</x:v>
      </x:c>
      <x:c r="T31" s="15" t="n">
        <x:f>IF(AND(T$5&gt;'假设'!$D$25,T29&gt;=0),T$5,999)</x:f>
        <x:v>999</x:v>
      </x:c>
      <x:c r="U31" s="15" t="n">
        <x:f>IF(AND(U$5&gt;'假设'!$D$25,U29&gt;=0),U$5,999)</x:f>
        <x:v>999</x:v>
      </x:c>
      <x:c r="V31" s="15" t="n">
        <x:f>IF(AND(V$5&gt;'假设'!$D$25,V29&gt;=0),V$5,999)</x:f>
        <x:v>999</x:v>
      </x:c>
      <x:c r="W31" s="15" t="n">
        <x:f>IF(AND(W$5&gt;'假设'!$D$25,W29&gt;=0),W$5,999)</x:f>
        <x:v>999</x:v>
      </x:c>
      <x:c r="X31" s="15" t="n">
        <x:f>IF(AND(X$5&gt;'假设'!$D$25,X29&gt;=0),X$5,999)</x:f>
        <x:v>999</x:v>
      </x:c>
      <x:c r="Y31" s="15" t="n">
        <x:f>IF(AND(Y$5&gt;'假设'!$D$25,Y29&gt;=0),Y$5,999)</x:f>
        <x:v>999</x:v>
      </x:c>
      <x:c r="Z31" s="15" t="n">
        <x:f>IF(AND(Z$5&gt;'假设'!$D$25,Z29&gt;=0),Z$5,999)</x:f>
        <x:v>999</x:v>
      </x:c>
      <x:c r="AA31" s="15" t="n">
        <x:f>IF(AND(AA$5&gt;'假设'!$D$25,AA29&gt;=0),AA$5,999)</x:f>
        <x:v>999</x:v>
      </x:c>
      <x:c r="AB31" s="15" t="n">
        <x:f>IF(AND(AB$5&gt;'假设'!$D$25,AB29&gt;=0),AB$5,999)</x:f>
        <x:v>999</x:v>
      </x:c>
      <x:c r="AC31" s="15" t="n">
        <x:f>IF(AND(AC$5&gt;'假设'!$D$25,AC29&gt;=0),AC$5,999)</x:f>
        <x:v>999</x:v>
      </x:c>
      <x:c r="AD31" s="15" t="n">
        <x:f>IF(AND(AD$5&gt;'假设'!$D$25,AD29&gt;=0),AD$5,999)</x:f>
        <x:v>999</x:v>
      </x:c>
      <x:c r="AE31" s="15" t="n">
        <x:f>IF(AND(AE$5&gt;'假设'!$D$25,AE29&gt;=0),AE$5,999)</x:f>
        <x:v>999</x:v>
      </x:c>
      <x:c r="AF31" s="15" t="n">
        <x:f>IF(AND(AF$5&gt;'假设'!$D$25,AF29&gt;=0),AF$5,999)</x:f>
        <x:v>999</x:v>
      </x:c>
      <x:c r="AG31" s="15" t="n">
        <x:f>IF(AND(AG$5&gt;'假设'!$D$25,AG29&gt;=0),AG$5,999)</x:f>
        <x:v>999</x:v>
      </x:c>
      <x:c r="AH31" s="15" t="n">
        <x:f>IF(AND(AH$5&gt;'假设'!$D$25,AH29&gt;=0),AH$5,999)</x:f>
        <x:v>999</x:v>
      </x:c>
      <x:c r="AI31" s="15" t="n">
        <x:f>IF(AND(AI$5&gt;'假设'!$D$25,AI29&gt;=0),AI$5,999)</x:f>
        <x:v>999</x:v>
      </x:c>
      <x:c r="AJ31" s="15" t="n">
        <x:f>IF(AND(AJ$5&gt;'假设'!$D$25,AJ29&gt;=0),AJ$5,999)</x:f>
        <x:v>999</x:v>
      </x:c>
      <x:c r="AK31" s="15" t="n">
        <x:f>IF(AND(AK$5&gt;'假设'!$D$25,AK29&gt;=0),AK$5,999)</x:f>
        <x:v>999</x:v>
      </x:c>
      <x:c r="AL31" s="15" t="n">
        <x:f>IF(AND(AL$5&gt;'假设'!$D$25,AL29&gt;=0),AL$5,999)</x:f>
        <x:v>999</x:v>
      </x:c>
      <x:c r="AM31" s="15" t="n">
        <x:f>IF(AND(AM$5&gt;'假设'!$D$25,AM29&gt;=0),AM$5,999)</x:f>
        <x:v>999</x:v>
      </x:c>
      <x:c r="AN31" s="3"/>
    </x:row>
    <x:row r="32" ht="24" customHeight="1">
      <x:c r="A32" s="1"/>
      <x:c r="B32" s="1"/>
      <x:c r="C32" s="1" t="str">
        <x:v>单月经营不亏标记</x:v>
      </x:c>
      <x:c r="D32" s="15" t="n">
        <x:f>IF(AND(D$5&gt;'假设'!$D$25,D24&gt;=0),D$5,999)</x:f>
        <x:v>999</x:v>
      </x:c>
      <x:c r="E32" s="15" t="n">
        <x:f>IF(AND(E$5&gt;'假设'!$D$25,E24&gt;=0),E$5,999)</x:f>
        <x:v>999</x:v>
      </x:c>
      <x:c r="F32" s="15" t="n">
        <x:f>IF(AND(F$5&gt;'假设'!$D$25,F24&gt;=0),F$5,999)</x:f>
        <x:v>999</x:v>
      </x:c>
      <x:c r="G32" s="15" t="n">
        <x:f>IF(AND(G$5&gt;'假设'!$D$25,G24&gt;=0),G$5,999)</x:f>
        <x:v>999</x:v>
      </x:c>
      <x:c r="H32" s="15" t="n">
        <x:f>IF(AND(H$5&gt;'假设'!$D$25,H24&gt;=0),H$5,999)</x:f>
        <x:v>999</x:v>
      </x:c>
      <x:c r="I32" s="15" t="n">
        <x:f>IF(AND(I$5&gt;'假设'!$D$25,I24&gt;=0),I$5,999)</x:f>
        <x:v>999</x:v>
      </x:c>
      <x:c r="J32" s="15" t="n">
        <x:f>IF(AND(J$5&gt;'假设'!$D$25,J24&gt;=0),J$5,999)</x:f>
        <x:v>999</x:v>
      </x:c>
      <x:c r="K32" s="15" t="n">
        <x:f>IF(AND(K$5&gt;'假设'!$D$25,K24&gt;=0),K$5,999)</x:f>
        <x:v>999</x:v>
      </x:c>
      <x:c r="L32" s="15" t="n">
        <x:f>IF(AND(L$5&gt;'假设'!$D$25,L24&gt;=0),L$5,999)</x:f>
        <x:v>999</x:v>
      </x:c>
      <x:c r="M32" s="15" t="n">
        <x:f>IF(AND(M$5&gt;'假设'!$D$25,M24&gt;=0),M$5,999)</x:f>
        <x:v>999</x:v>
      </x:c>
      <x:c r="N32" s="15" t="n">
        <x:f>IF(AND(N$5&gt;'假设'!$D$25,N24&gt;=0),N$5,999)</x:f>
        <x:v>999</x:v>
      </x:c>
      <x:c r="O32" s="15" t="n">
        <x:f>IF(AND(O$5&gt;'假设'!$D$25,O24&gt;=0),O$5,999)</x:f>
        <x:v>999</x:v>
      </x:c>
      <x:c r="P32" s="15" t="n">
        <x:f>IF(AND(P$5&gt;'假设'!$D$25,P24&gt;=0),P$5,999)</x:f>
        <x:v>999</x:v>
      </x:c>
      <x:c r="Q32" s="15" t="n">
        <x:f>IF(AND(Q$5&gt;'假设'!$D$25,Q24&gt;=0),Q$5,999)</x:f>
        <x:v>999</x:v>
      </x:c>
      <x:c r="R32" s="15" t="n">
        <x:f>IF(AND(R$5&gt;'假设'!$D$25,R24&gt;=0),R$5,999)</x:f>
        <x:v>999</x:v>
      </x:c>
      <x:c r="S32" s="15" t="n">
        <x:f>IF(AND(S$5&gt;'假设'!$D$25,S24&gt;=0),S$5,999)</x:f>
        <x:v>999</x:v>
      </x:c>
      <x:c r="T32" s="15" t="n">
        <x:f>IF(AND(T$5&gt;'假设'!$D$25,T24&gt;=0),T$5,999)</x:f>
        <x:v>999</x:v>
      </x:c>
      <x:c r="U32" s="15" t="n">
        <x:f>IF(AND(U$5&gt;'假设'!$D$25,U24&gt;=0),U$5,999)</x:f>
        <x:v>18</x:v>
      </x:c>
      <x:c r="V32" s="15" t="n">
        <x:f>IF(AND(V$5&gt;'假设'!$D$25,V24&gt;=0),V$5,999)</x:f>
        <x:v>19</x:v>
      </x:c>
      <x:c r="W32" s="15" t="n">
        <x:f>IF(AND(W$5&gt;'假设'!$D$25,W24&gt;=0),W$5,999)</x:f>
        <x:v>20</x:v>
      </x:c>
      <x:c r="X32" s="15" t="n">
        <x:f>IF(AND(X$5&gt;'假设'!$D$25,X24&gt;=0),X$5,999)</x:f>
        <x:v>21</x:v>
      </x:c>
      <x:c r="Y32" s="15" t="n">
        <x:f>IF(AND(Y$5&gt;'假设'!$D$25,Y24&gt;=0),Y$5,999)</x:f>
        <x:v>22</x:v>
      </x:c>
      <x:c r="Z32" s="15" t="n">
        <x:f>IF(AND(Z$5&gt;'假设'!$D$25,Z24&gt;=0),Z$5,999)</x:f>
        <x:v>23</x:v>
      </x:c>
      <x:c r="AA32" s="15" t="n">
        <x:f>IF(AND(AA$5&gt;'假设'!$D$25,AA24&gt;=0),AA$5,999)</x:f>
        <x:v>24</x:v>
      </x:c>
      <x:c r="AB32" s="15" t="n">
        <x:f>IF(AND(AB$5&gt;'假设'!$D$25,AB24&gt;=0),AB$5,999)</x:f>
        <x:v>25</x:v>
      </x:c>
      <x:c r="AC32" s="15" t="n">
        <x:f>IF(AND(AC$5&gt;'假设'!$D$25,AC24&gt;=0),AC$5,999)</x:f>
        <x:v>26</x:v>
      </x:c>
      <x:c r="AD32" s="15" t="n">
        <x:f>IF(AND(AD$5&gt;'假设'!$D$25,AD24&gt;=0),AD$5,999)</x:f>
        <x:v>27</x:v>
      </x:c>
      <x:c r="AE32" s="15" t="n">
        <x:f>IF(AND(AE$5&gt;'假设'!$D$25,AE24&gt;=0),AE$5,999)</x:f>
        <x:v>28</x:v>
      </x:c>
      <x:c r="AF32" s="15" t="n">
        <x:f>IF(AND(AF$5&gt;'假设'!$D$25,AF24&gt;=0),AF$5,999)</x:f>
        <x:v>29</x:v>
      </x:c>
      <x:c r="AG32" s="15" t="n">
        <x:f>IF(AND(AG$5&gt;'假设'!$D$25,AG24&gt;=0),AG$5,999)</x:f>
        <x:v>30</x:v>
      </x:c>
      <x:c r="AH32" s="15" t="n">
        <x:f>IF(AND(AH$5&gt;'假设'!$D$25,AH24&gt;=0),AH$5,999)</x:f>
        <x:v>31</x:v>
      </x:c>
      <x:c r="AI32" s="15" t="n">
        <x:f>IF(AND(AI$5&gt;'假设'!$D$25,AI24&gt;=0),AI$5,999)</x:f>
        <x:v>32</x:v>
      </x:c>
      <x:c r="AJ32" s="15" t="n">
        <x:f>IF(AND(AJ$5&gt;'假设'!$D$25,AJ24&gt;=0),AJ$5,999)</x:f>
        <x:v>33</x:v>
      </x:c>
      <x:c r="AK32" s="15" t="n">
        <x:f>IF(AND(AK$5&gt;'假设'!$D$25,AK24&gt;=0),AK$5,999)</x:f>
        <x:v>34</x:v>
      </x:c>
      <x:c r="AL32" s="15" t="n">
        <x:f>IF(AND(AL$5&gt;'假设'!$D$25,AL24&gt;=0),AL$5,999)</x:f>
        <x:v>35</x:v>
      </x:c>
      <x:c r="AM32" s="15" t="n">
        <x:f>IF(AND(AM$5&gt;'假设'!$D$25,AM24&gt;=0),AM$5,999)</x:f>
        <x:v>36</x:v>
      </x:c>
      <x:c r="AN32" s="3"/>
    </x:row>
    <x:row r="33" ht="24" customHeight="1">
      <x:c r="A33" s="1"/>
      <x:c r="B33" s="1"/>
      <x:c r="C33" s="1" t="str">
        <x:v>当月服务费现金收款</x:v>
      </x:c>
      <x:c r="D33" s="15" t="n">
        <x:f>IF('假设'!$D$52=0,D14,0)</x:f>
        <x:v>0</x:v>
      </x:c>
      <x:c r="E33" s="15" t="n">
        <x:f>IF('假设'!$D$52=0,E14,D14)</x:f>
        <x:v>0</x:v>
      </x:c>
      <x:c r="F33" s="15" t="n">
        <x:f>IF('假设'!$D$52=0,F14,E14)</x:f>
        <x:v>0</x:v>
      </x:c>
      <x:c r="G33" s="15" t="n">
        <x:f>IF('假设'!$D$52=0,G14,F14)</x:f>
        <x:v>0</x:v>
      </x:c>
      <x:c r="H33" s="15" t="n">
        <x:f>IF('假设'!$D$52=0,H14,G14)</x:f>
        <x:v>6000</x:v>
      </x:c>
      <x:c r="I33" s="15" t="n">
        <x:f>IF('假设'!$D$52=0,I14,H14)</x:f>
        <x:v>9000</x:v>
      </x:c>
      <x:c r="J33" s="15" t="n">
        <x:f>IF('假设'!$D$52=0,J14,I14)</x:f>
        <x:v>12000</x:v>
      </x:c>
      <x:c r="K33" s="15" t="n">
        <x:f>IF('假设'!$D$52=0,K14,J14)</x:f>
        <x:v>15000</x:v>
      </x:c>
      <x:c r="L33" s="15" t="n">
        <x:f>IF('假设'!$D$52=0,L14,K14)</x:f>
        <x:v>18000</x:v>
      </x:c>
      <x:c r="M33" s="15" t="n">
        <x:f>IF('假设'!$D$52=0,M14,L14)</x:f>
        <x:v>21000</x:v>
      </x:c>
      <x:c r="N33" s="15" t="n">
        <x:f>IF('假设'!$D$52=0,N14,M14)</x:f>
        <x:v>24000</x:v>
      </x:c>
      <x:c r="O33" s="15" t="n">
        <x:f>IF('假设'!$D$52=0,O14,N14)</x:f>
        <x:v>27000</x:v>
      </x:c>
      <x:c r="P33" s="15" t="n">
        <x:f>IF('假设'!$D$52=0,P14,O14)</x:f>
        <x:v>30000</x:v>
      </x:c>
      <x:c r="Q33" s="15" t="n">
        <x:f>IF('假设'!$D$52=0,Q14,P14)</x:f>
        <x:v>30000</x:v>
      </x:c>
      <x:c r="R33" s="15" t="n">
        <x:f>IF('假设'!$D$52=0,R14,Q14)</x:f>
        <x:v>33000</x:v>
      </x:c>
      <x:c r="S33" s="15" t="n">
        <x:f>IF('假设'!$D$52=0,S14,R14)</x:f>
        <x:v>33000</x:v>
      </x:c>
      <x:c r="T33" s="15" t="n">
        <x:f>IF('假设'!$D$52=0,T14,S14)</x:f>
        <x:v>36000</x:v>
      </x:c>
      <x:c r="U33" s="15" t="n">
        <x:f>IF('假设'!$D$52=0,U14,T14)</x:f>
        <x:v>36000</x:v>
      </x:c>
      <x:c r="V33" s="15" t="n">
        <x:f>IF('假设'!$D$52=0,V14,U14)</x:f>
        <x:v>36000</x:v>
      </x:c>
      <x:c r="W33" s="15" t="n">
        <x:f>IF('假设'!$D$52=0,W14,V14)</x:f>
        <x:v>39000</x:v>
      </x:c>
      <x:c r="X33" s="15" t="n">
        <x:f>IF('假设'!$D$52=0,X14,W14)</x:f>
        <x:v>39000</x:v>
      </x:c>
      <x:c r="Y33" s="15" t="n">
        <x:f>IF('假设'!$D$52=0,Y14,X14)</x:f>
        <x:v>39000</x:v>
      </x:c>
      <x:c r="Z33" s="15" t="n">
        <x:f>IF('假设'!$D$52=0,Z14,Y14)</x:f>
        <x:v>42000</x:v>
      </x:c>
      <x:c r="AA33" s="15" t="n">
        <x:f>IF('假设'!$D$52=0,AA14,Z14)</x:f>
        <x:v>42000</x:v>
      </x:c>
      <x:c r="AB33" s="15" t="n">
        <x:f>IF('假设'!$D$52=0,AB14,AA14)</x:f>
        <x:v>42000</x:v>
      </x:c>
      <x:c r="AC33" s="15" t="n">
        <x:f>IF('假设'!$D$52=0,AC14,AB14)</x:f>
        <x:v>45000</x:v>
      </x:c>
      <x:c r="AD33" s="15" t="n">
        <x:f>IF('假设'!$D$52=0,AD14,AC14)</x:f>
        <x:v>45000</x:v>
      </x:c>
      <x:c r="AE33" s="15" t="n">
        <x:f>IF('假设'!$D$52=0,AE14,AD14)</x:f>
        <x:v>45000</x:v>
      </x:c>
      <x:c r="AF33" s="15" t="n">
        <x:f>IF('假设'!$D$52=0,AF14,AE14)</x:f>
        <x:v>45000</x:v>
      </x:c>
      <x:c r="AG33" s="15" t="n">
        <x:f>IF('假设'!$D$52=0,AG14,AF14)</x:f>
        <x:v>45000</x:v>
      </x:c>
      <x:c r="AH33" s="15" t="n">
        <x:f>IF('假设'!$D$52=0,AH14,AG14)</x:f>
        <x:v>45000</x:v>
      </x:c>
      <x:c r="AI33" s="15" t="n">
        <x:f>IF('假设'!$D$52=0,AI14,AH14)</x:f>
        <x:v>45000</x:v>
      </x:c>
      <x:c r="AJ33" s="15" t="n">
        <x:f>IF('假设'!$D$52=0,AJ14,AI14)</x:f>
        <x:v>45000</x:v>
      </x:c>
      <x:c r="AK33" s="15" t="n">
        <x:f>IF('假设'!$D$52=0,AK14,AJ14)</x:f>
        <x:v>45000</x:v>
      </x:c>
      <x:c r="AL33" s="15" t="n">
        <x:f>IF('假设'!$D$52=0,AL14,AK14)</x:f>
        <x:v>45000</x:v>
      </x:c>
      <x:c r="AM33" s="15" t="n">
        <x:f>IF('假设'!$D$52=0,AM14,AL14)</x:f>
        <x:v>45000</x:v>
      </x:c>
      <x:c r="AN33" s="3"/>
    </x:row>
    <x:row r="34" ht="24" customHeight="1">
      <x:c r="A34" s="1"/>
      <x:c r="B34" s="1"/>
      <x:c r="C34" s="1" t="str">
        <x:v>期末服务费应收款</x:v>
      </x:c>
      <x:c r="D34" s="2" t="n">
        <x:f>D14-D33</x:f>
        <x:v>0</x:v>
      </x:c>
      <x:c r="E34" s="2" t="n">
        <x:f>D34+E14-E33</x:f>
        <x:v>0</x:v>
      </x:c>
      <x:c r="F34" s="2" t="n">
        <x:f>E34+F14-F33</x:f>
        <x:v>0</x:v>
      </x:c>
      <x:c r="G34" s="2" t="n">
        <x:f>F34+G14-G33</x:f>
        <x:v>0</x:v>
      </x:c>
      <x:c r="H34" s="2" t="n">
        <x:f>G34+H14-H33</x:f>
        <x:v>0</x:v>
      </x:c>
      <x:c r="I34" s="2" t="n">
        <x:f>H34+I14-I33</x:f>
        <x:v>0</x:v>
      </x:c>
      <x:c r="J34" s="2" t="n">
        <x:f>I34+J14-J33</x:f>
        <x:v>0</x:v>
      </x:c>
      <x:c r="K34" s="2" t="n">
        <x:f>J34+K14-K33</x:f>
        <x:v>0</x:v>
      </x:c>
      <x:c r="L34" s="2" t="n">
        <x:f>K34+L14-L33</x:f>
        <x:v>0</x:v>
      </x:c>
      <x:c r="M34" s="2" t="n">
        <x:f>L34+M14-M33</x:f>
        <x:v>0</x:v>
      </x:c>
      <x:c r="N34" s="2" t="n">
        <x:f>M34+N14-N33</x:f>
        <x:v>0</x:v>
      </x:c>
      <x:c r="O34" s="2" t="n">
        <x:f>N34+O14-O33</x:f>
        <x:v>0</x:v>
      </x:c>
      <x:c r="P34" s="2" t="n">
        <x:f>O34+P14-P33</x:f>
        <x:v>0</x:v>
      </x:c>
      <x:c r="Q34" s="2" t="n">
        <x:f>P34+Q14-Q33</x:f>
        <x:v>0</x:v>
      </x:c>
      <x:c r="R34" s="2" t="n">
        <x:f>Q34+R14-R33</x:f>
        <x:v>0</x:v>
      </x:c>
      <x:c r="S34" s="2" t="n">
        <x:f>R34+S14-S33</x:f>
        <x:v>0</x:v>
      </x:c>
      <x:c r="T34" s="2" t="n">
        <x:f>S34+T14-T33</x:f>
        <x:v>0</x:v>
      </x:c>
      <x:c r="U34" s="2" t="n">
        <x:f>T34+U14-U33</x:f>
        <x:v>0</x:v>
      </x:c>
      <x:c r="V34" s="2" t="n">
        <x:f>U34+V14-V33</x:f>
        <x:v>0</x:v>
      </x:c>
      <x:c r="W34" s="2" t="n">
        <x:f>V34+W14-W33</x:f>
        <x:v>0</x:v>
      </x:c>
      <x:c r="X34" s="2" t="n">
        <x:f>W34+X14-X33</x:f>
        <x:v>0</x:v>
      </x:c>
      <x:c r="Y34" s="2" t="n">
        <x:f>X34+Y14-Y33</x:f>
        <x:v>0</x:v>
      </x:c>
      <x:c r="Z34" s="2" t="n">
        <x:f>Y34+Z14-Z33</x:f>
        <x:v>0</x:v>
      </x:c>
      <x:c r="AA34" s="2" t="n">
        <x:f>Z34+AA14-AA33</x:f>
        <x:v>0</x:v>
      </x:c>
      <x:c r="AB34" s="2" t="n">
        <x:f>AA34+AB14-AB33</x:f>
        <x:v>0</x:v>
      </x:c>
      <x:c r="AC34" s="2" t="n">
        <x:f>AB34+AC14-AC33</x:f>
        <x:v>0</x:v>
      </x:c>
      <x:c r="AD34" s="2" t="n">
        <x:f>AC34+AD14-AD33</x:f>
        <x:v>0</x:v>
      </x:c>
      <x:c r="AE34" s="2" t="n">
        <x:f>AD34+AE14-AE33</x:f>
        <x:v>0</x:v>
      </x:c>
      <x:c r="AF34" s="2" t="n">
        <x:f>AE34+AF14-AF33</x:f>
        <x:v>0</x:v>
      </x:c>
      <x:c r="AG34" s="2" t="n">
        <x:f>AF34+AG14-AG33</x:f>
        <x:v>0</x:v>
      </x:c>
      <x:c r="AH34" s="2" t="n">
        <x:f>AG34+AH14-AH33</x:f>
        <x:v>0</x:v>
      </x:c>
      <x:c r="AI34" s="2" t="n">
        <x:f>AH34+AI14-AI33</x:f>
        <x:v>0</x:v>
      </x:c>
      <x:c r="AJ34" s="2" t="n">
        <x:f>AI34+AJ14-AJ33</x:f>
        <x:v>0</x:v>
      </x:c>
      <x:c r="AK34" s="2" t="n">
        <x:f>AJ34+AK14-AK33</x:f>
        <x:v>0</x:v>
      </x:c>
      <x:c r="AL34" s="2" t="n">
        <x:f>AK34+AL14-AL33</x:f>
        <x:v>0</x:v>
      </x:c>
      <x:c r="AM34" s="2" t="n">
        <x:f>AL34+AM14-AM33</x:f>
        <x:v>0</x:v>
      </x:c>
      <x:c r="AN34" s="3"/>
    </x:row>
    <x:row r="35" ht="24" customHeight="1">
      <x:c r="A35" s="1"/>
      <x:c r="B35" s="1"/>
      <x:c r="C35" s="12" t="str">
        <x:v>M5首批获客已计入启动池；M6起新增/替补品牌另付CAC。当月获得品牌当月即完成全部活动。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3"/>
    </x:row>
    <x:row r="36" ht="24" customHeight="1">
      <x:c r="A36" s="1"/>
      <x:c r="B36" s="1"/>
      <x:c r="C36" s="12" t="str">
        <x:v>现金流已含0/1月服务费收款延迟；未计税、利息及其余营运资金；不作税后净利。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3"/>
    </x:row>
    <x:row r="37" ht="24" customHeight="1">
      <x:c r="A37" s="1"/>
      <x:c r="B37" s="1"/>
      <x:c r="C37" s="12" t="str">
        <x:v>固定费用不随规模增长仅为情景假设；扩张需另验容量、招聘、数据吞吐及报价。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3"/>
    </x:row>
    <x:row r="38" ht="24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3"/>
    </x:row>
    <x:row r="39" ht="24" customHeight="1">
      <x:c r="A39" s="1"/>
      <x:c r="B39" s="1"/>
      <x:c r="C39" s="1" t="str">
        <x:v>支付费敏感性：全品牌资金费率</x:v>
      </x:c>
      <x:c r="D39" s="16" t="n">
        <x:f>'假设'!$D$50</x:f>
        <x:v>0.03</x:v>
      </x:c>
      <x:c r="E39" s="16" t="n">
        <x:f>'假设'!$D$50</x:f>
        <x:v>0.03</x:v>
      </x:c>
      <x:c r="F39" s="16" t="n">
        <x:f>'假设'!$D$50</x:f>
        <x:v>0.03</x:v>
      </x:c>
      <x:c r="G39" s="16" t="n">
        <x:f>'假设'!$D$50</x:f>
        <x:v>0.03</x:v>
      </x:c>
      <x:c r="H39" s="16" t="n">
        <x:f>'假设'!$D$50</x:f>
        <x:v>0.03</x:v>
      </x:c>
      <x:c r="I39" s="16" t="n">
        <x:f>'假设'!$D$50</x:f>
        <x:v>0.03</x:v>
      </x:c>
      <x:c r="J39" s="16" t="n">
        <x:f>'假设'!$D$50</x:f>
        <x:v>0.03</x:v>
      </x:c>
      <x:c r="K39" s="16" t="n">
        <x:f>'假设'!$D$50</x:f>
        <x:v>0.03</x:v>
      </x:c>
      <x:c r="L39" s="16" t="n">
        <x:f>'假设'!$D$50</x:f>
        <x:v>0.03</x:v>
      </x:c>
      <x:c r="M39" s="16" t="n">
        <x:f>'假设'!$D$50</x:f>
        <x:v>0.03</x:v>
      </x:c>
      <x:c r="N39" s="16" t="n">
        <x:f>'假设'!$D$50</x:f>
        <x:v>0.03</x:v>
      </x:c>
      <x:c r="O39" s="16" t="n">
        <x:f>'假设'!$D$50</x:f>
        <x:v>0.03</x:v>
      </x:c>
      <x:c r="P39" s="16" t="n">
        <x:f>'假设'!$D$50</x:f>
        <x:v>0.03</x:v>
      </x:c>
      <x:c r="Q39" s="16" t="n">
        <x:f>'假设'!$D$50</x:f>
        <x:v>0.03</x:v>
      </x:c>
      <x:c r="R39" s="16" t="n">
        <x:f>'假设'!$D$50</x:f>
        <x:v>0.03</x:v>
      </x:c>
      <x:c r="S39" s="16" t="n">
        <x:f>'假设'!$D$50</x:f>
        <x:v>0.03</x:v>
      </x:c>
      <x:c r="T39" s="16" t="n">
        <x:f>'假设'!$D$50</x:f>
        <x:v>0.03</x:v>
      </x:c>
      <x:c r="U39" s="16" t="n">
        <x:f>'假设'!$D$50</x:f>
        <x:v>0.03</x:v>
      </x:c>
      <x:c r="V39" s="16" t="n">
        <x:f>'假设'!$D$50</x:f>
        <x:v>0.03</x:v>
      </x:c>
      <x:c r="W39" s="16" t="n">
        <x:f>'假设'!$D$50</x:f>
        <x:v>0.03</x:v>
      </x:c>
      <x:c r="X39" s="16" t="n">
        <x:f>'假设'!$D$50</x:f>
        <x:v>0.03</x:v>
      </x:c>
      <x:c r="Y39" s="16" t="n">
        <x:f>'假设'!$D$50</x:f>
        <x:v>0.03</x:v>
      </x:c>
      <x:c r="Z39" s="16" t="n">
        <x:f>'假设'!$D$50</x:f>
        <x:v>0.03</x:v>
      </x:c>
      <x:c r="AA39" s="16" t="n">
        <x:f>'假设'!$D$50</x:f>
        <x:v>0.03</x:v>
      </x:c>
      <x:c r="AB39" s="16" t="n">
        <x:f>'假设'!$D$50</x:f>
        <x:v>0.03</x:v>
      </x:c>
      <x:c r="AC39" s="16" t="n">
        <x:f>'假设'!$D$50</x:f>
        <x:v>0.03</x:v>
      </x:c>
      <x:c r="AD39" s="16" t="n">
        <x:f>'假设'!$D$50</x:f>
        <x:v>0.03</x:v>
      </x:c>
      <x:c r="AE39" s="16" t="n">
        <x:f>'假设'!$D$50</x:f>
        <x:v>0.03</x:v>
      </x:c>
      <x:c r="AF39" s="16" t="n">
        <x:f>'假设'!$D$50</x:f>
        <x:v>0.03</x:v>
      </x:c>
      <x:c r="AG39" s="16" t="n">
        <x:f>'假设'!$D$50</x:f>
        <x:v>0.03</x:v>
      </x:c>
      <x:c r="AH39" s="16" t="n">
        <x:f>'假设'!$D$50</x:f>
        <x:v>0.03</x:v>
      </x:c>
      <x:c r="AI39" s="16" t="n">
        <x:f>'假设'!$D$50</x:f>
        <x:v>0.03</x:v>
      </x:c>
      <x:c r="AJ39" s="16" t="n">
        <x:f>'假设'!$D$50</x:f>
        <x:v>0.03</x:v>
      </x:c>
      <x:c r="AK39" s="16" t="n">
        <x:f>'假设'!$D$50</x:f>
        <x:v>0.03</x:v>
      </x:c>
      <x:c r="AL39" s="16" t="n">
        <x:f>'假设'!$D$50</x:f>
        <x:v>0.03</x:v>
      </x:c>
      <x:c r="AM39" s="16" t="n">
        <x:f>'假设'!$D$50</x:f>
        <x:v>0.03</x:v>
      </x:c>
      <x:c r="AN39" s="3"/>
    </x:row>
    <x:row r="40" ht="24" customHeight="1">
      <x:c r="A40" s="1"/>
      <x:c r="B40" s="1"/>
      <x:c r="C40" s="1" t="str">
        <x:v>敏感性现金流（同收款账期）</x:v>
      </x:c>
      <x:c r="D40" s="15" t="n">
        <x:f>D28-('单位经济'!$D$7*D39+'假设'!$D$51-'假设'!$D$11)*D6</x:f>
        <x:v>-59437.5</x:v>
      </x:c>
      <x:c r="E40" s="15" t="n">
        <x:f>E28-('单位经济'!$D$7*E39+'假设'!$D$51-'假设'!$D$11)*E6</x:f>
        <x:v>-59437.5</x:v>
      </x:c>
      <x:c r="F40" s="15" t="n">
        <x:f>F28-('单位经济'!$D$7*F39+'假设'!$D$51-'假设'!$D$11)*F6</x:f>
        <x:v>-59437.5</x:v>
      </x:c>
      <x:c r="G40" s="15" t="n">
        <x:f>G28-('单位经济'!$D$7*G39+'假设'!$D$51-'假设'!$D$11)*G6</x:f>
        <x:v>-59437.5</x:v>
      </x:c>
      <x:c r="H40" s="15" t="n">
        <x:f>H28-('单位经济'!$D$7*H39+'假设'!$D$51-'假设'!$D$11)*H6</x:f>
        <x:v>-64780</x:v>
      </x:c>
      <x:c r="I40" s="15" t="n">
        <x:f>I28-('单位经济'!$D$7*I39+'假设'!$D$51-'假设'!$D$11)*I6</x:f>
        <x:v>-15320</x:v>
      </x:c>
      <x:c r="J40" s="15" t="n">
        <x:f>J28-('单位经济'!$D$7*J39+'假设'!$D$51-'假设'!$D$11)*J6</x:f>
        <x:v>-14285</x:v>
      </x:c>
      <x:c r="K40" s="15" t="n">
        <x:f>K28-('单位经济'!$D$7*K39+'假设'!$D$51-'假设'!$D$11)*K6</x:f>
        <x:v>-13250</x:v>
      </x:c>
      <x:c r="L40" s="15" t="n">
        <x:f>L28-('单位经济'!$D$7*L39+'假设'!$D$51-'假设'!$D$11)*L6</x:f>
        <x:v>-12215</x:v>
      </x:c>
      <x:c r="M40" s="15" t="n">
        <x:f>M28-('单位经济'!$D$7*M39+'假设'!$D$51-'假设'!$D$11)*M6</x:f>
        <x:v>-11180</x:v>
      </x:c>
      <x:c r="N40" s="15" t="n">
        <x:f>N28-('单位经济'!$D$7*N39+'假设'!$D$51-'假设'!$D$11)*N6</x:f>
        <x:v>-10145</x:v>
      </x:c>
      <x:c r="O40" s="15" t="n">
        <x:f>O28-('单位经济'!$D$7*O39+'假设'!$D$51-'假设'!$D$11)*O6</x:f>
        <x:v>-9110</x:v>
      </x:c>
      <x:c r="P40" s="15" t="n">
        <x:f>P28-('单位经济'!$D$7*P39+'假设'!$D$51-'假设'!$D$11)*P6</x:f>
        <x:v>-8075</x:v>
      </x:c>
      <x:c r="Q40" s="15" t="n">
        <x:f>Q28-('单位经济'!$D$7*Q39+'假设'!$D$51-'假设'!$D$11)*Q6</x:f>
        <x:v>-6650</x:v>
      </x:c>
      <x:c r="R40" s="15" t="n">
        <x:f>R28-('单位经济'!$D$7*R39+'假设'!$D$51-'假设'!$D$11)*R6</x:f>
        <x:v>-7040</x:v>
      </x:c>
      <x:c r="S40" s="15" t="n">
        <x:f>S28-('单位经济'!$D$7*S39+'假设'!$D$51-'假设'!$D$11)*S6</x:f>
        <x:v>-5615</x:v>
      </x:c>
      <x:c r="T40" s="15" t="n">
        <x:f>T28-('单位经济'!$D$7*T39+'假设'!$D$51-'假设'!$D$11)*T6</x:f>
        <x:v>-6005</x:v>
      </x:c>
      <x:c r="U40" s="15" t="n">
        <x:f>U28-('单位经济'!$D$7*U39+'假设'!$D$51-'假设'!$D$11)*U6</x:f>
        <x:v>-4580</x:v>
      </x:c>
      <x:c r="V40" s="15" t="n">
        <x:f>V28-('单位经济'!$D$7*V39+'假设'!$D$51-'假设'!$D$11)*V6</x:f>
        <x:v>-4580</x:v>
      </x:c>
      <x:c r="W40" s="15" t="n">
        <x:f>W28-('单位经济'!$D$7*W39+'假设'!$D$51-'假设'!$D$11)*W6</x:f>
        <x:v>-4970</x:v>
      </x:c>
      <x:c r="X40" s="15" t="n">
        <x:f>X28-('单位经济'!$D$7*X39+'假设'!$D$51-'假设'!$D$11)*X6</x:f>
        <x:v>-3545</x:v>
      </x:c>
      <x:c r="Y40" s="15" t="n">
        <x:f>Y28-('单位经济'!$D$7*Y39+'假设'!$D$51-'假设'!$D$11)*Y6</x:f>
        <x:v>-3545</x:v>
      </x:c>
      <x:c r="Z40" s="15" t="n">
        <x:f>Z28-('单位经济'!$D$7*Z39+'假设'!$D$51-'假设'!$D$11)*Z6</x:f>
        <x:v>-3935</x:v>
      </x:c>
      <x:c r="AA40" s="15" t="n">
        <x:f>AA28-('单位经济'!$D$7*AA39+'假设'!$D$51-'假设'!$D$11)*AA6</x:f>
        <x:v>-2510</x:v>
      </x:c>
      <x:c r="AB40" s="15" t="n">
        <x:f>AB28-('单位经济'!$D$7*AB39+'假设'!$D$51-'假设'!$D$11)*AB6</x:f>
        <x:v>-2510</x:v>
      </x:c>
      <x:c r="AC40" s="15" t="n">
        <x:f>AC28-('单位经济'!$D$7*AC39+'假设'!$D$51-'假设'!$D$11)*AC6</x:f>
        <x:v>-2900</x:v>
      </x:c>
      <x:c r="AD40" s="15" t="n">
        <x:f>AD28-('单位经济'!$D$7*AD39+'假设'!$D$51-'假设'!$D$11)*AD6</x:f>
        <x:v>-1475</x:v>
      </x:c>
      <x:c r="AE40" s="15" t="n">
        <x:f>AE28-('单位经济'!$D$7*AE39+'假设'!$D$51-'假设'!$D$11)*AE6</x:f>
        <x:v>-1475</x:v>
      </x:c>
      <x:c r="AF40" s="15" t="n">
        <x:f>AF28-('单位经济'!$D$7*AF39+'假设'!$D$51-'假设'!$D$11)*AF6</x:f>
        <x:v>-1475</x:v>
      </x:c>
      <x:c r="AG40" s="15" t="n">
        <x:f>AG28-('单位经济'!$D$7*AG39+'假设'!$D$51-'假设'!$D$11)*AG6</x:f>
        <x:v>-1475</x:v>
      </x:c>
      <x:c r="AH40" s="15" t="n">
        <x:f>AH28-('单位经济'!$D$7*AH39+'假设'!$D$51-'假设'!$D$11)*AH6</x:f>
        <x:v>-1475</x:v>
      </x:c>
      <x:c r="AI40" s="15" t="n">
        <x:f>AI28-('单位经济'!$D$7*AI39+'假设'!$D$51-'假设'!$D$11)*AI6</x:f>
        <x:v>-1475</x:v>
      </x:c>
      <x:c r="AJ40" s="15" t="n">
        <x:f>AJ28-('单位经济'!$D$7*AJ39+'假设'!$D$51-'假设'!$D$11)*AJ6</x:f>
        <x:v>-1475</x:v>
      </x:c>
      <x:c r="AK40" s="15" t="n">
        <x:f>AK28-('单位经济'!$D$7*AK39+'假设'!$D$51-'假设'!$D$11)*AK6</x:f>
        <x:v>-1475</x:v>
      </x:c>
      <x:c r="AL40" s="15" t="n">
        <x:f>AL28-('单位经济'!$D$7*AL39+'假设'!$D$51-'假设'!$D$11)*AL6</x:f>
        <x:v>-1475</x:v>
      </x:c>
      <x:c r="AM40" s="15" t="n">
        <x:f>AM28-('单位经济'!$D$7*AM39+'假设'!$D$51-'假设'!$D$11)*AM6</x:f>
        <x:v>-1475</x:v>
      </x:c>
      <x:c r="AN40" s="3"/>
    </x:row>
    <x:row r="41" ht="24" customHeight="1">
      <x:c r="A41" s="1"/>
      <x:c r="B41" s="1"/>
      <x:c r="C41" s="1" t="str">
        <x:v>敏感性累计现金流</x:v>
      </x:c>
      <x:c r="D41" s="2" t="n">
        <x:f>D40</x:f>
        <x:v>-59437.5</x:v>
      </x:c>
      <x:c r="E41" s="2" t="n">
        <x:f>D41+E40</x:f>
        <x:v>-118875</x:v>
      </x:c>
      <x:c r="F41" s="2" t="n">
        <x:f>E41+F40</x:f>
        <x:v>-178312.5</x:v>
      </x:c>
      <x:c r="G41" s="2" t="n">
        <x:f>F41+G40</x:f>
        <x:v>-237750</x:v>
      </x:c>
      <x:c r="H41" s="2" t="n">
        <x:f>G41+H40</x:f>
        <x:v>-302530</x:v>
      </x:c>
      <x:c r="I41" s="2" t="n">
        <x:f>H41+I40</x:f>
        <x:v>-317850</x:v>
      </x:c>
      <x:c r="J41" s="2" t="n">
        <x:f>I41+J40</x:f>
        <x:v>-332135</x:v>
      </x:c>
      <x:c r="K41" s="2" t="n">
        <x:f>J41+K40</x:f>
        <x:v>-345385</x:v>
      </x:c>
      <x:c r="L41" s="2" t="n">
        <x:f>K41+L40</x:f>
        <x:v>-357600</x:v>
      </x:c>
      <x:c r="M41" s="2" t="n">
        <x:f>L41+M40</x:f>
        <x:v>-368780</x:v>
      </x:c>
      <x:c r="N41" s="2" t="n">
        <x:f>M41+N40</x:f>
        <x:v>-378925</x:v>
      </x:c>
      <x:c r="O41" s="2" t="n">
        <x:f>N41+O40</x:f>
        <x:v>-388035</x:v>
      </x:c>
      <x:c r="P41" s="2" t="n">
        <x:f>O41+P40</x:f>
        <x:v>-396110</x:v>
      </x:c>
      <x:c r="Q41" s="2" t="n">
        <x:f>P41+Q40</x:f>
        <x:v>-402760</x:v>
      </x:c>
      <x:c r="R41" s="2" t="n">
        <x:f>Q41+R40</x:f>
        <x:v>-409800</x:v>
      </x:c>
      <x:c r="S41" s="2" t="n">
        <x:f>R41+S40</x:f>
        <x:v>-415415</x:v>
      </x:c>
      <x:c r="T41" s="2" t="n">
        <x:f>S41+T40</x:f>
        <x:v>-421420</x:v>
      </x:c>
      <x:c r="U41" s="2" t="n">
        <x:f>T41+U40</x:f>
        <x:v>-426000</x:v>
      </x:c>
      <x:c r="V41" s="2" t="n">
        <x:f>U41+V40</x:f>
        <x:v>-430580</x:v>
      </x:c>
      <x:c r="W41" s="2" t="n">
        <x:f>V41+W40</x:f>
        <x:v>-435550</x:v>
      </x:c>
      <x:c r="X41" s="2" t="n">
        <x:f>W41+X40</x:f>
        <x:v>-439095</x:v>
      </x:c>
      <x:c r="Y41" s="2" t="n">
        <x:f>X41+Y40</x:f>
        <x:v>-442640</x:v>
      </x:c>
      <x:c r="Z41" s="2" t="n">
        <x:f>Y41+Z40</x:f>
        <x:v>-446575</x:v>
      </x:c>
      <x:c r="AA41" s="2" t="n">
        <x:f>Z41+AA40</x:f>
        <x:v>-449085</x:v>
      </x:c>
      <x:c r="AB41" s="2" t="n">
        <x:f>AA41+AB40</x:f>
        <x:v>-451595</x:v>
      </x:c>
      <x:c r="AC41" s="2" t="n">
        <x:f>AB41+AC40</x:f>
        <x:v>-454495</x:v>
      </x:c>
      <x:c r="AD41" s="2" t="n">
        <x:f>AC41+AD40</x:f>
        <x:v>-455970</x:v>
      </x:c>
      <x:c r="AE41" s="2" t="n">
        <x:f>AD41+AE40</x:f>
        <x:v>-457445</x:v>
      </x:c>
      <x:c r="AF41" s="2" t="n">
        <x:f>AE41+AF40</x:f>
        <x:v>-458920</x:v>
      </x:c>
      <x:c r="AG41" s="2" t="n">
        <x:f>AF41+AG40</x:f>
        <x:v>-460395</x:v>
      </x:c>
      <x:c r="AH41" s="2" t="n">
        <x:f>AG41+AH40</x:f>
        <x:v>-461870</x:v>
      </x:c>
      <x:c r="AI41" s="2" t="n">
        <x:f>AH41+AI40</x:f>
        <x:v>-463345</x:v>
      </x:c>
      <x:c r="AJ41" s="2" t="n">
        <x:f>AI41+AJ40</x:f>
        <x:v>-464820</x:v>
      </x:c>
      <x:c r="AK41" s="2" t="n">
        <x:f>AJ41+AK40</x:f>
        <x:v>-466295</x:v>
      </x:c>
      <x:c r="AL41" s="2" t="n">
        <x:f>AK41+AL40</x:f>
        <x:v>-467770</x:v>
      </x:c>
      <x:c r="AM41" s="2" t="n">
        <x:f>AL41+AM40</x:f>
        <x:v>-469245</x:v>
      </x:c>
      <x:c r="AN41" s="3"/>
    </x:row>
    <x:row r="42" ht="24" customHeight="1">
      <x:c r="A42" s="1"/>
      <x:c r="B42" s="1"/>
      <x:c r="C42" s="1" t="str">
        <x:v>敏感性回本月标记</x:v>
      </x:c>
      <x:c r="D42" s="15" t="n">
        <x:f>IF(AND(D$5&gt;'假设'!$D$25,D41&gt;=0),D$5,999)</x:f>
        <x:v>999</x:v>
      </x:c>
      <x:c r="E42" s="15" t="n">
        <x:f>IF(AND(E$5&gt;'假设'!$D$25,E41&gt;=0),E$5,999)</x:f>
        <x:v>999</x:v>
      </x:c>
      <x:c r="F42" s="15" t="n">
        <x:f>IF(AND(F$5&gt;'假设'!$D$25,F41&gt;=0),F$5,999)</x:f>
        <x:v>999</x:v>
      </x:c>
      <x:c r="G42" s="15" t="n">
        <x:f>IF(AND(G$5&gt;'假设'!$D$25,G41&gt;=0),G$5,999)</x:f>
        <x:v>999</x:v>
      </x:c>
      <x:c r="H42" s="15" t="n">
        <x:f>IF(AND(H$5&gt;'假设'!$D$25,H41&gt;=0),H$5,999)</x:f>
        <x:v>999</x:v>
      </x:c>
      <x:c r="I42" s="15" t="n">
        <x:f>IF(AND(I$5&gt;'假设'!$D$25,I41&gt;=0),I$5,999)</x:f>
        <x:v>999</x:v>
      </x:c>
      <x:c r="J42" s="15" t="n">
        <x:f>IF(AND(J$5&gt;'假设'!$D$25,J41&gt;=0),J$5,999)</x:f>
        <x:v>999</x:v>
      </x:c>
      <x:c r="K42" s="15" t="n">
        <x:f>IF(AND(K$5&gt;'假设'!$D$25,K41&gt;=0),K$5,999)</x:f>
        <x:v>999</x:v>
      </x:c>
      <x:c r="L42" s="15" t="n">
        <x:f>IF(AND(L$5&gt;'假设'!$D$25,L41&gt;=0),L$5,999)</x:f>
        <x:v>999</x:v>
      </x:c>
      <x:c r="M42" s="15" t="n">
        <x:f>IF(AND(M$5&gt;'假设'!$D$25,M41&gt;=0),M$5,999)</x:f>
        <x:v>999</x:v>
      </x:c>
      <x:c r="N42" s="15" t="n">
        <x:f>IF(AND(N$5&gt;'假设'!$D$25,N41&gt;=0),N$5,999)</x:f>
        <x:v>999</x:v>
      </x:c>
      <x:c r="O42" s="15" t="n">
        <x:f>IF(AND(O$5&gt;'假设'!$D$25,O41&gt;=0),O$5,999)</x:f>
        <x:v>999</x:v>
      </x:c>
      <x:c r="P42" s="15" t="n">
        <x:f>IF(AND(P$5&gt;'假设'!$D$25,P41&gt;=0),P$5,999)</x:f>
        <x:v>999</x:v>
      </x:c>
      <x:c r="Q42" s="15" t="n">
        <x:f>IF(AND(Q$5&gt;'假设'!$D$25,Q41&gt;=0),Q$5,999)</x:f>
        <x:v>999</x:v>
      </x:c>
      <x:c r="R42" s="15" t="n">
        <x:f>IF(AND(R$5&gt;'假设'!$D$25,R41&gt;=0),R$5,999)</x:f>
        <x:v>999</x:v>
      </x:c>
      <x:c r="S42" s="15" t="n">
        <x:f>IF(AND(S$5&gt;'假设'!$D$25,S41&gt;=0),S$5,999)</x:f>
        <x:v>999</x:v>
      </x:c>
      <x:c r="T42" s="15" t="n">
        <x:f>IF(AND(T$5&gt;'假设'!$D$25,T41&gt;=0),T$5,999)</x:f>
        <x:v>999</x:v>
      </x:c>
      <x:c r="U42" s="15" t="n">
        <x:f>IF(AND(U$5&gt;'假设'!$D$25,U41&gt;=0),U$5,999)</x:f>
        <x:v>999</x:v>
      </x:c>
      <x:c r="V42" s="15" t="n">
        <x:f>IF(AND(V$5&gt;'假设'!$D$25,V41&gt;=0),V$5,999)</x:f>
        <x:v>999</x:v>
      </x:c>
      <x:c r="W42" s="15" t="n">
        <x:f>IF(AND(W$5&gt;'假设'!$D$25,W41&gt;=0),W$5,999)</x:f>
        <x:v>999</x:v>
      </x:c>
      <x:c r="X42" s="15" t="n">
        <x:f>IF(AND(X$5&gt;'假设'!$D$25,X41&gt;=0),X$5,999)</x:f>
        <x:v>999</x:v>
      </x:c>
      <x:c r="Y42" s="15" t="n">
        <x:f>IF(AND(Y$5&gt;'假设'!$D$25,Y41&gt;=0),Y$5,999)</x:f>
        <x:v>999</x:v>
      </x:c>
      <x:c r="Z42" s="15" t="n">
        <x:f>IF(AND(Z$5&gt;'假设'!$D$25,Z41&gt;=0),Z$5,999)</x:f>
        <x:v>999</x:v>
      </x:c>
      <x:c r="AA42" s="15" t="n">
        <x:f>IF(AND(AA$5&gt;'假设'!$D$25,AA41&gt;=0),AA$5,999)</x:f>
        <x:v>999</x:v>
      </x:c>
      <x:c r="AB42" s="15" t="n">
        <x:f>IF(AND(AB$5&gt;'假设'!$D$25,AB41&gt;=0),AB$5,999)</x:f>
        <x:v>999</x:v>
      </x:c>
      <x:c r="AC42" s="15" t="n">
        <x:f>IF(AND(AC$5&gt;'假设'!$D$25,AC41&gt;=0),AC$5,999)</x:f>
        <x:v>999</x:v>
      </x:c>
      <x:c r="AD42" s="15" t="n">
        <x:f>IF(AND(AD$5&gt;'假设'!$D$25,AD41&gt;=0),AD$5,999)</x:f>
        <x:v>999</x:v>
      </x:c>
      <x:c r="AE42" s="15" t="n">
        <x:f>IF(AND(AE$5&gt;'假设'!$D$25,AE41&gt;=0),AE$5,999)</x:f>
        <x:v>999</x:v>
      </x:c>
      <x:c r="AF42" s="15" t="n">
        <x:f>IF(AND(AF$5&gt;'假设'!$D$25,AF41&gt;=0),AF$5,999)</x:f>
        <x:v>999</x:v>
      </x:c>
      <x:c r="AG42" s="15" t="n">
        <x:f>IF(AND(AG$5&gt;'假设'!$D$25,AG41&gt;=0),AG$5,999)</x:f>
        <x:v>999</x:v>
      </x:c>
      <x:c r="AH42" s="15" t="n">
        <x:f>IF(AND(AH$5&gt;'假设'!$D$25,AH41&gt;=0),AH$5,999)</x:f>
        <x:v>999</x:v>
      </x:c>
      <x:c r="AI42" s="15" t="n">
        <x:f>IF(AND(AI$5&gt;'假设'!$D$25,AI41&gt;=0),AI$5,999)</x:f>
        <x:v>999</x:v>
      </x:c>
      <x:c r="AJ42" s="15" t="n">
        <x:f>IF(AND(AJ$5&gt;'假设'!$D$25,AJ41&gt;=0),AJ$5,999)</x:f>
        <x:v>999</x:v>
      </x:c>
      <x:c r="AK42" s="15" t="n">
        <x:f>IF(AND(AK$5&gt;'假设'!$D$25,AK41&gt;=0),AK$5,999)</x:f>
        <x:v>999</x:v>
      </x:c>
      <x:c r="AL42" s="15" t="n">
        <x:f>IF(AND(AL$5&gt;'假设'!$D$25,AL41&gt;=0),AL$5,999)</x:f>
        <x:v>999</x:v>
      </x:c>
      <x:c r="AM42" s="15" t="n">
        <x:f>IF(AND(AM$5&gt;'假设'!$D$25,AM41&gt;=0),AM$5,999)</x:f>
        <x:v>999</x:v>
      </x:c>
      <x:c r="AN42" s="3"/>
    </x:row>
    <x:row r="43" ht="24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3"/>
    </x:row>
    <x:row r="44" ht="24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3"/>
    </x:row>
    <x:row r="45"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</x:cols>
  <x:sheetData>
    <x:row r="1" ht="24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3"/>
    </x:row>
    <x:row r="2" ht="24" customHeight="1">
      <x:c r="A2" s="1"/>
      <x:c r="B2" s="1"/>
      <x:c r="C2" s="4" t="str">
        <x:v>Wringy｜基准现金流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3"/>
    </x:row>
    <x:row r="3" ht="24" customHeight="1">
      <x:c r="A3" s="1"/>
      <x:c r="B3" s="1"/>
      <x:c r="C3" s="1" t="str">
        <x:v>基准｜全部为说明情景；RM，M1–M36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3"/>
    </x:row>
    <x:row r="4" ht="24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3"/>
    </x:row>
    <x:row r="5" ht="24" customHeight="1">
      <x:c r="A5" s="1"/>
      <x:c r="B5" s="1"/>
      <x:c r="C5" s="1"/>
      <x:c r="D5" s="19" t="n">
        <x:v>1</x:v>
      </x:c>
      <x:c r="E5" s="19" t="n">
        <x:v>2</x:v>
      </x:c>
      <x:c r="F5" s="19" t="n">
        <x:v>3</x:v>
      </x:c>
      <x:c r="G5" s="19" t="n">
        <x:v>4</x:v>
      </x:c>
      <x:c r="H5" s="19" t="n">
        <x:v>5</x:v>
      </x:c>
      <x:c r="I5" s="19" t="n">
        <x:v>6</x:v>
      </x:c>
      <x:c r="J5" s="19" t="n">
        <x:v>7</x:v>
      </x:c>
      <x:c r="K5" s="19" t="n">
        <x:v>8</x:v>
      </x:c>
      <x:c r="L5" s="19" t="n">
        <x:v>9</x:v>
      </x:c>
      <x:c r="M5" s="19" t="n">
        <x:v>10</x:v>
      </x:c>
      <x:c r="N5" s="19" t="n">
        <x:v>11</x:v>
      </x:c>
      <x:c r="O5" s="19" t="n">
        <x:v>12</x:v>
      </x:c>
      <x:c r="P5" s="19" t="n">
        <x:v>13</x:v>
      </x:c>
      <x:c r="Q5" s="19" t="n">
        <x:v>14</x:v>
      </x:c>
      <x:c r="R5" s="19" t="n">
        <x:v>15</x:v>
      </x:c>
      <x:c r="S5" s="19" t="n">
        <x:v>16</x:v>
      </x:c>
      <x:c r="T5" s="19" t="n">
        <x:v>17</x:v>
      </x:c>
      <x:c r="U5" s="19" t="n">
        <x:v>18</x:v>
      </x:c>
      <x:c r="V5" s="19" t="n">
        <x:v>19</x:v>
      </x:c>
      <x:c r="W5" s="19" t="n">
        <x:v>20</x:v>
      </x:c>
      <x:c r="X5" s="19" t="n">
        <x:v>21</x:v>
      </x:c>
      <x:c r="Y5" s="19" t="n">
        <x:v>22</x:v>
      </x:c>
      <x:c r="Z5" s="19" t="n">
        <x:v>23</x:v>
      </x:c>
      <x:c r="AA5" s="19" t="n">
        <x:v>24</x:v>
      </x:c>
      <x:c r="AB5" s="19" t="n">
        <x:v>25</x:v>
      </x:c>
      <x:c r="AC5" s="19" t="n">
        <x:v>26</x:v>
      </x:c>
      <x:c r="AD5" s="19" t="n">
        <x:v>27</x:v>
      </x:c>
      <x:c r="AE5" s="19" t="n">
        <x:v>28</x:v>
      </x:c>
      <x:c r="AF5" s="19" t="n">
        <x:v>29</x:v>
      </x:c>
      <x:c r="AG5" s="19" t="n">
        <x:v>30</x:v>
      </x:c>
      <x:c r="AH5" s="19" t="n">
        <x:v>31</x:v>
      </x:c>
      <x:c r="AI5" s="19" t="n">
        <x:v>32</x:v>
      </x:c>
      <x:c r="AJ5" s="19" t="n">
        <x:v>33</x:v>
      </x:c>
      <x:c r="AK5" s="19" t="n">
        <x:v>34</x:v>
      </x:c>
      <x:c r="AL5" s="19" t="n">
        <x:v>35</x:v>
      </x:c>
      <x:c r="AM5" s="19" t="n">
        <x:v>36</x:v>
      </x:c>
      <x:c r="AN5" s="3"/>
    </x:row>
    <x:row r="6" ht="24" customHeight="1">
      <x:c r="A6" s="1"/>
      <x:c r="B6" s="1"/>
      <x:c r="C6" s="1" t="str">
        <x:v>活动数</x:v>
      </x:c>
      <x:c r="D6" s="15" t="n">
        <x:f>'假设'!D32</x:f>
        <x:v>0</x:v>
      </x:c>
      <x:c r="E6" s="15" t="n">
        <x:f>'假设'!E32</x:f>
        <x:v>0</x:v>
      </x:c>
      <x:c r="F6" s="15" t="n">
        <x:f>'假设'!F32</x:f>
        <x:v>0</x:v>
      </x:c>
      <x:c r="G6" s="15" t="n">
        <x:f>'假设'!G32</x:f>
        <x:v>0</x:v>
      </x:c>
      <x:c r="H6" s="15" t="n">
        <x:f>'假设'!H32</x:f>
        <x:v>8</x:v>
      </x:c>
      <x:c r="I6" s="15" t="n">
        <x:f>'假设'!I32</x:f>
        <x:v>12</x:v>
      </x:c>
      <x:c r="J6" s="15" t="n">
        <x:f>'假设'!J32</x:f>
        <x:v>16</x:v>
      </x:c>
      <x:c r="K6" s="15" t="n">
        <x:f>'假设'!K32</x:f>
        <x:v>20</x:v>
      </x:c>
      <x:c r="L6" s="15" t="n">
        <x:f>'假设'!L32</x:f>
        <x:v>24</x:v>
      </x:c>
      <x:c r="M6" s="15" t="n">
        <x:f>'假设'!M32</x:f>
        <x:v>28</x:v>
      </x:c>
      <x:c r="N6" s="15" t="n">
        <x:f>'假设'!N32</x:f>
        <x:v>32</x:v>
      </x:c>
      <x:c r="O6" s="15" t="n">
        <x:f>'假设'!O32</x:f>
        <x:v>36</x:v>
      </x:c>
      <x:c r="P6" s="15" t="n">
        <x:f>'假设'!P32</x:f>
        <x:v>40</x:v>
      </x:c>
      <x:c r="Q6" s="15" t="n">
        <x:f>'假设'!Q32</x:f>
        <x:v>44</x:v>
      </x:c>
      <x:c r="R6" s="15" t="n">
        <x:f>'假设'!R32</x:f>
        <x:v>48</x:v>
      </x:c>
      <x:c r="S6" s="15" t="n">
        <x:f>'假设'!S32</x:f>
        <x:v>52</x:v>
      </x:c>
      <x:c r="T6" s="15" t="n">
        <x:f>'假设'!T32</x:f>
        <x:v>56</x:v>
      </x:c>
      <x:c r="U6" s="15" t="n">
        <x:f>'假设'!U32</x:f>
        <x:v>60</x:v>
      </x:c>
      <x:c r="V6" s="15" t="n">
        <x:f>'假设'!V32</x:f>
        <x:v>64</x:v>
      </x:c>
      <x:c r="W6" s="15" t="n">
        <x:f>'假设'!W32</x:f>
        <x:v>68</x:v>
      </x:c>
      <x:c r="X6" s="15" t="n">
        <x:f>'假设'!X32</x:f>
        <x:v>72</x:v>
      </x:c>
      <x:c r="Y6" s="15" t="n">
        <x:f>'假设'!Y32</x:f>
        <x:v>76</x:v>
      </x:c>
      <x:c r="Z6" s="15" t="n">
        <x:f>'假设'!Z32</x:f>
        <x:v>80</x:v>
      </x:c>
      <x:c r="AA6" s="15" t="n">
        <x:f>'假设'!AA32</x:f>
        <x:v>84</x:v>
      </x:c>
      <x:c r="AB6" s="15" t="n">
        <x:f>'假设'!AB32</x:f>
        <x:v>88</x:v>
      </x:c>
      <x:c r="AC6" s="15" t="n">
        <x:f>'假设'!AC32</x:f>
        <x:v>92</x:v>
      </x:c>
      <x:c r="AD6" s="15" t="n">
        <x:f>'假设'!AD32</x:f>
        <x:v>96</x:v>
      </x:c>
      <x:c r="AE6" s="15" t="n">
        <x:f>'假设'!AE32</x:f>
        <x:v>100</x:v>
      </x:c>
      <x:c r="AF6" s="15" t="n">
        <x:f>'假设'!AF32</x:f>
        <x:v>100</x:v>
      </x:c>
      <x:c r="AG6" s="15" t="n">
        <x:f>'假设'!AG32</x:f>
        <x:v>100</x:v>
      </x:c>
      <x:c r="AH6" s="15" t="n">
        <x:f>'假设'!AH32</x:f>
        <x:v>100</x:v>
      </x:c>
      <x:c r="AI6" s="15" t="n">
        <x:f>'假设'!AI32</x:f>
        <x:v>100</x:v>
      </x:c>
      <x:c r="AJ6" s="15" t="n">
        <x:f>'假设'!AJ32</x:f>
        <x:v>100</x:v>
      </x:c>
      <x:c r="AK6" s="15" t="n">
        <x:f>'假设'!AK32</x:f>
        <x:v>100</x:v>
      </x:c>
      <x:c r="AL6" s="15" t="n">
        <x:f>'假设'!AL32</x:f>
        <x:v>100</x:v>
      </x:c>
      <x:c r="AM6" s="15" t="n">
        <x:f>'假设'!AM32</x:f>
        <x:v>100</x:v>
      </x:c>
      <x:c r="AN6" s="3"/>
    </x:row>
    <x:row r="7" ht="24" customHeight="1">
      <x:c r="A7" s="1"/>
      <x:c r="B7" s="1"/>
      <x:c r="C7" s="1" t="str">
        <x:v>活跃付费品牌（近似）</x:v>
      </x:c>
      <x:c r="D7" s="20" t="n">
        <x:f>D6/'假设'!$D$21</x:f>
        <x:v>0</x:v>
      </x:c>
      <x:c r="E7" s="20" t="n">
        <x:f>E6/'假设'!$D$21</x:f>
        <x:v>0</x:v>
      </x:c>
      <x:c r="F7" s="20" t="n">
        <x:f>F6/'假设'!$D$21</x:f>
        <x:v>0</x:v>
      </x:c>
      <x:c r="G7" s="20" t="n">
        <x:f>G6/'假设'!$D$21</x:f>
        <x:v>0</x:v>
      </x:c>
      <x:c r="H7" s="20" t="n">
        <x:f>H6/'假设'!$D$21</x:f>
        <x:v>4</x:v>
      </x:c>
      <x:c r="I7" s="20" t="n">
        <x:f>I6/'假设'!$D$21</x:f>
        <x:v>6</x:v>
      </x:c>
      <x:c r="J7" s="20" t="n">
        <x:f>J6/'假设'!$D$21</x:f>
        <x:v>8</x:v>
      </x:c>
      <x:c r="K7" s="20" t="n">
        <x:f>K6/'假设'!$D$21</x:f>
        <x:v>10</x:v>
      </x:c>
      <x:c r="L7" s="20" t="n">
        <x:f>L6/'假设'!$D$21</x:f>
        <x:v>12</x:v>
      </x:c>
      <x:c r="M7" s="20" t="n">
        <x:f>M6/'假设'!$D$21</x:f>
        <x:v>14</x:v>
      </x:c>
      <x:c r="N7" s="20" t="n">
        <x:f>N6/'假设'!$D$21</x:f>
        <x:v>16</x:v>
      </x:c>
      <x:c r="O7" s="20" t="n">
        <x:f>O6/'假设'!$D$21</x:f>
        <x:v>18</x:v>
      </x:c>
      <x:c r="P7" s="20" t="n">
        <x:f>P6/'假设'!$D$21</x:f>
        <x:v>20</x:v>
      </x:c>
      <x:c r="Q7" s="20" t="n">
        <x:f>Q6/'假设'!$D$21</x:f>
        <x:v>22</x:v>
      </x:c>
      <x:c r="R7" s="20" t="n">
        <x:f>R6/'假设'!$D$21</x:f>
        <x:v>24</x:v>
      </x:c>
      <x:c r="S7" s="20" t="n">
        <x:f>S6/'假设'!$D$21</x:f>
        <x:v>26</x:v>
      </x:c>
      <x:c r="T7" s="20" t="n">
        <x:f>T6/'假设'!$D$21</x:f>
        <x:v>28</x:v>
      </x:c>
      <x:c r="U7" s="20" t="n">
        <x:f>U6/'假设'!$D$21</x:f>
        <x:v>30</x:v>
      </x:c>
      <x:c r="V7" s="20" t="n">
        <x:f>V6/'假设'!$D$21</x:f>
        <x:v>32</x:v>
      </x:c>
      <x:c r="W7" s="20" t="n">
        <x:f>W6/'假设'!$D$21</x:f>
        <x:v>34</x:v>
      </x:c>
      <x:c r="X7" s="20" t="n">
        <x:f>X6/'假设'!$D$21</x:f>
        <x:v>36</x:v>
      </x:c>
      <x:c r="Y7" s="20" t="n">
        <x:f>Y6/'假设'!$D$21</x:f>
        <x:v>38</x:v>
      </x:c>
      <x:c r="Z7" s="20" t="n">
        <x:f>Z6/'假设'!$D$21</x:f>
        <x:v>40</x:v>
      </x:c>
      <x:c r="AA7" s="20" t="n">
        <x:f>AA6/'假设'!$D$21</x:f>
        <x:v>42</x:v>
      </x:c>
      <x:c r="AB7" s="20" t="n">
        <x:f>AB6/'假设'!$D$21</x:f>
        <x:v>44</x:v>
      </x:c>
      <x:c r="AC7" s="20" t="n">
        <x:f>AC6/'假设'!$D$21</x:f>
        <x:v>46</x:v>
      </x:c>
      <x:c r="AD7" s="20" t="n">
        <x:f>AD6/'假设'!$D$21</x:f>
        <x:v>48</x:v>
      </x:c>
      <x:c r="AE7" s="20" t="n">
        <x:f>AE6/'假设'!$D$21</x:f>
        <x:v>50</x:v>
      </x:c>
      <x:c r="AF7" s="20" t="n">
        <x:f>AF6/'假设'!$D$21</x:f>
        <x:v>50</x:v>
      </x:c>
      <x:c r="AG7" s="20" t="n">
        <x:f>AG6/'假设'!$D$21</x:f>
        <x:v>50</x:v>
      </x:c>
      <x:c r="AH7" s="20" t="n">
        <x:f>AH6/'假设'!$D$21</x:f>
        <x:v>50</x:v>
      </x:c>
      <x:c r="AI7" s="20" t="n">
        <x:f>AI6/'假设'!$D$21</x:f>
        <x:v>50</x:v>
      </x:c>
      <x:c r="AJ7" s="20" t="n">
        <x:f>AJ6/'假设'!$D$21</x:f>
        <x:v>50</x:v>
      </x:c>
      <x:c r="AK7" s="20" t="n">
        <x:f>AK6/'假设'!$D$21</x:f>
        <x:v>50</x:v>
      </x:c>
      <x:c r="AL7" s="20" t="n">
        <x:f>AL6/'假设'!$D$21</x:f>
        <x:v>50</x:v>
      </x:c>
      <x:c r="AM7" s="20" t="n">
        <x:f>AM6/'假设'!$D$21</x:f>
        <x:v>50</x:v>
      </x:c>
      <x:c r="AN7" s="3"/>
    </x:row>
    <x:row r="8" ht="24" customHeight="1">
      <x:c r="A8" s="1"/>
      <x:c r="B8" s="1"/>
      <x:c r="C8" s="1" t="str">
        <x:v>留存品牌</x:v>
      </x:c>
      <x:c r="D8" s="21" t="n">
        <x:f>0</x:f>
        <x:v>0</x:v>
      </x:c>
      <x:c r="E8" s="20" t="n">
        <x:f>MIN(E7,D7*(1-'假设'!$D$22))</x:f>
        <x:v>0</x:v>
      </x:c>
      <x:c r="F8" s="20" t="n">
        <x:f>MIN(F7,E7*(1-'假设'!$D$22))</x:f>
        <x:v>0</x:v>
      </x:c>
      <x:c r="G8" s="20" t="n">
        <x:f>MIN(G7,F7*(1-'假设'!$D$22))</x:f>
        <x:v>0</x:v>
      </x:c>
      <x:c r="H8" s="20" t="n">
        <x:f>MIN(H7,G7*(1-'假设'!$D$22))</x:f>
        <x:v>0</x:v>
      </x:c>
      <x:c r="I8" s="20" t="n">
        <x:f>MIN(I7,H7*(1-'假设'!$D$22))</x:f>
        <x:v>3.8</x:v>
      </x:c>
      <x:c r="J8" s="20" t="n">
        <x:f>MIN(J7,I7*(1-'假设'!$D$22))</x:f>
        <x:v>5.699999999999999</x:v>
      </x:c>
      <x:c r="K8" s="20" t="n">
        <x:f>MIN(K7,J7*(1-'假设'!$D$22))</x:f>
        <x:v>7.6</x:v>
      </x:c>
      <x:c r="L8" s="20" t="n">
        <x:f>MIN(L7,K7*(1-'假设'!$D$22))</x:f>
        <x:v>9.5</x:v>
      </x:c>
      <x:c r="M8" s="20" t="n">
        <x:f>MIN(M7,L7*(1-'假设'!$D$22))</x:f>
        <x:v>11.399999999999999</x:v>
      </x:c>
      <x:c r="N8" s="20" t="n">
        <x:f>MIN(N7,M7*(1-'假设'!$D$22))</x:f>
        <x:v>13.299999999999999</x:v>
      </x:c>
      <x:c r="O8" s="20" t="n">
        <x:f>MIN(O7,N7*(1-'假设'!$D$22))</x:f>
        <x:v>15.2</x:v>
      </x:c>
      <x:c r="P8" s="20" t="n">
        <x:f>MIN(P7,O7*(1-'假设'!$D$22))</x:f>
        <x:v>17.099999999999998</x:v>
      </x:c>
      <x:c r="Q8" s="20" t="n">
        <x:f>MIN(Q7,P7*(1-'假设'!$D$22))</x:f>
        <x:v>19</x:v>
      </x:c>
      <x:c r="R8" s="20" t="n">
        <x:f>MIN(R7,Q7*(1-'假设'!$D$22))</x:f>
        <x:v>20.9</x:v>
      </x:c>
      <x:c r="S8" s="20" t="n">
        <x:f>MIN(S7,R7*(1-'假设'!$D$22))</x:f>
        <x:v>22.799999999999997</x:v>
      </x:c>
      <x:c r="T8" s="20" t="n">
        <x:f>MIN(T7,S7*(1-'假设'!$D$22))</x:f>
        <x:v>24.7</x:v>
      </x:c>
      <x:c r="U8" s="20" t="n">
        <x:f>MIN(U7,T7*(1-'假设'!$D$22))</x:f>
        <x:v>26.599999999999998</x:v>
      </x:c>
      <x:c r="V8" s="20" t="n">
        <x:f>MIN(V7,U7*(1-'假设'!$D$22))</x:f>
        <x:v>28.5</x:v>
      </x:c>
      <x:c r="W8" s="20" t="n">
        <x:f>MIN(W7,V7*(1-'假设'!$D$22))</x:f>
        <x:v>30.4</x:v>
      </x:c>
      <x:c r="X8" s="20" t="n">
        <x:f>MIN(X7,W7*(1-'假设'!$D$22))</x:f>
        <x:v>32.3</x:v>
      </x:c>
      <x:c r="Y8" s="20" t="n">
        <x:f>MIN(Y7,X7*(1-'假设'!$D$22))</x:f>
        <x:v>34.199999999999996</x:v>
      </x:c>
      <x:c r="Z8" s="20" t="n">
        <x:f>MIN(Z7,Y7*(1-'假设'!$D$22))</x:f>
        <x:v>36.1</x:v>
      </x:c>
      <x:c r="AA8" s="20" t="n">
        <x:f>MIN(AA7,Z7*(1-'假设'!$D$22))</x:f>
        <x:v>38</x:v>
      </x:c>
      <x:c r="AB8" s="20" t="n">
        <x:f>MIN(AB7,AA7*(1-'假设'!$D$22))</x:f>
        <x:v>39.9</x:v>
      </x:c>
      <x:c r="AC8" s="20" t="n">
        <x:f>MIN(AC7,AB7*(1-'假设'!$D$22))</x:f>
        <x:v>41.8</x:v>
      </x:c>
      <x:c r="AD8" s="20" t="n">
        <x:f>MIN(AD7,AC7*(1-'假设'!$D$22))</x:f>
        <x:v>43.699999999999996</x:v>
      </x:c>
      <x:c r="AE8" s="20" t="n">
        <x:f>MIN(AE7,AD7*(1-'假设'!$D$22))</x:f>
        <x:v>45.599999999999994</x:v>
      </x:c>
      <x:c r="AF8" s="20" t="n">
        <x:f>MIN(AF7,AE7*(1-'假设'!$D$22))</x:f>
        <x:v>47.5</x:v>
      </x:c>
      <x:c r="AG8" s="20" t="n">
        <x:f>MIN(AG7,AF7*(1-'假设'!$D$22))</x:f>
        <x:v>47.5</x:v>
      </x:c>
      <x:c r="AH8" s="20" t="n">
        <x:f>MIN(AH7,AG7*(1-'假设'!$D$22))</x:f>
        <x:v>47.5</x:v>
      </x:c>
      <x:c r="AI8" s="20" t="n">
        <x:f>MIN(AI7,AH7*(1-'假设'!$D$22))</x:f>
        <x:v>47.5</x:v>
      </x:c>
      <x:c r="AJ8" s="20" t="n">
        <x:f>MIN(AJ7,AI7*(1-'假设'!$D$22))</x:f>
        <x:v>47.5</x:v>
      </x:c>
      <x:c r="AK8" s="20" t="n">
        <x:f>MIN(AK7,AJ7*(1-'假设'!$D$22))</x:f>
        <x:v>47.5</x:v>
      </x:c>
      <x:c r="AL8" s="20" t="n">
        <x:f>MIN(AL7,AK7*(1-'假设'!$D$22))</x:f>
        <x:v>47.5</x:v>
      </x:c>
      <x:c r="AM8" s="20" t="n">
        <x:f>MIN(AM7,AL7*(1-'假设'!$D$22))</x:f>
        <x:v>47.5</x:v>
      </x:c>
      <x:c r="AN8" s="3"/>
    </x:row>
    <x:row r="9" ht="24" customHeight="1">
      <x:c r="A9" s="1"/>
      <x:c r="B9" s="1"/>
      <x:c r="C9" s="1" t="str">
        <x:v>新增／替补品牌</x:v>
      </x:c>
      <x:c r="D9" s="21" t="n">
        <x:f>MAX(0,D7-D8)</x:f>
        <x:v>0</x:v>
      </x:c>
      <x:c r="E9" s="21" t="n">
        <x:f>MAX(0,E7-E8)</x:f>
        <x:v>0</x:v>
      </x:c>
      <x:c r="F9" s="21" t="n">
        <x:f>MAX(0,F7-F8)</x:f>
        <x:v>0</x:v>
      </x:c>
      <x:c r="G9" s="21" t="n">
        <x:f>MAX(0,G7-G8)</x:f>
        <x:v>0</x:v>
      </x:c>
      <x:c r="H9" s="21" t="n">
        <x:f>MAX(0,H7-H8)</x:f>
        <x:v>4</x:v>
      </x:c>
      <x:c r="I9" s="21" t="n">
        <x:f>MAX(0,I7-I8)</x:f>
        <x:v>2.2</x:v>
      </x:c>
      <x:c r="J9" s="21" t="n">
        <x:f>MAX(0,J7-J8)</x:f>
        <x:v>2.3000000000000007</x:v>
      </x:c>
      <x:c r="K9" s="21" t="n">
        <x:f>MAX(0,K7-K8)</x:f>
        <x:v>2.4000000000000004</x:v>
      </x:c>
      <x:c r="L9" s="21" t="n">
        <x:f>MAX(0,L7-L8)</x:f>
        <x:v>2.5</x:v>
      </x:c>
      <x:c r="M9" s="21" t="n">
        <x:f>MAX(0,M7-M8)</x:f>
        <x:v>2.6000000000000014</x:v>
      </x:c>
      <x:c r="N9" s="21" t="n">
        <x:f>MAX(0,N7-N8)</x:f>
        <x:v>2.700000000000001</x:v>
      </x:c>
      <x:c r="O9" s="21" t="n">
        <x:f>MAX(0,O7-O8)</x:f>
        <x:v>2.8000000000000007</x:v>
      </x:c>
      <x:c r="P9" s="21" t="n">
        <x:f>MAX(0,P7-P8)</x:f>
        <x:v>2.900000000000002</x:v>
      </x:c>
      <x:c r="Q9" s="21" t="n">
        <x:f>MAX(0,Q7-Q8)</x:f>
        <x:v>3</x:v>
      </x:c>
      <x:c r="R9" s="21" t="n">
        <x:f>MAX(0,R7-R8)</x:f>
        <x:v>3.1000000000000014</x:v>
      </x:c>
      <x:c r="S9" s="21" t="n">
        <x:f>MAX(0,S7-S8)</x:f>
        <x:v>3.200000000000003</x:v>
      </x:c>
      <x:c r="T9" s="21" t="n">
        <x:f>MAX(0,T7-T8)</x:f>
        <x:v>3.3000000000000007</x:v>
      </x:c>
      <x:c r="U9" s="21" t="n">
        <x:f>MAX(0,U7-U8)</x:f>
        <x:v>3.400000000000002</x:v>
      </x:c>
      <x:c r="V9" s="21" t="n">
        <x:f>MAX(0,V7-V8)</x:f>
        <x:v>3.5</x:v>
      </x:c>
      <x:c r="W9" s="21" t="n">
        <x:f>MAX(0,W7-W8)</x:f>
        <x:v>3.6000000000000014</x:v>
      </x:c>
      <x:c r="X9" s="21" t="n">
        <x:f>MAX(0,X7-X8)</x:f>
        <x:v>3.700000000000003</x:v>
      </x:c>
      <x:c r="Y9" s="21" t="n">
        <x:f>MAX(0,Y7-Y8)</x:f>
        <x:v>3.8000000000000043</x:v>
      </x:c>
      <x:c r="Z9" s="21" t="n">
        <x:f>MAX(0,Z7-Z8)</x:f>
        <x:v>3.8999999999999986</x:v>
      </x:c>
      <x:c r="AA9" s="21" t="n">
        <x:f>MAX(0,AA7-AA8)</x:f>
        <x:v>4</x:v>
      </x:c>
      <x:c r="AB9" s="21" t="n">
        <x:f>MAX(0,AB7-AB8)</x:f>
        <x:v>4.100000000000001</x:v>
      </x:c>
      <x:c r="AC9" s="21" t="n">
        <x:f>MAX(0,AC7-AC8)</x:f>
        <x:v>4.200000000000003</x:v>
      </x:c>
      <x:c r="AD9" s="21" t="n">
        <x:f>MAX(0,AD7-AD8)</x:f>
        <x:v>4.300000000000004</x:v>
      </x:c>
      <x:c r="AE9" s="21" t="n">
        <x:f>MAX(0,AE7-AE8)</x:f>
        <x:v>4.400000000000006</x:v>
      </x:c>
      <x:c r="AF9" s="21" t="n">
        <x:f>MAX(0,AF7-AF8)</x:f>
        <x:v>2.5</x:v>
      </x:c>
      <x:c r="AG9" s="21" t="n">
        <x:f>MAX(0,AG7-AG8)</x:f>
        <x:v>2.5</x:v>
      </x:c>
      <x:c r="AH9" s="21" t="n">
        <x:f>MAX(0,AH7-AH8)</x:f>
        <x:v>2.5</x:v>
      </x:c>
      <x:c r="AI9" s="21" t="n">
        <x:f>MAX(0,AI7-AI8)</x:f>
        <x:v>2.5</x:v>
      </x:c>
      <x:c r="AJ9" s="21" t="n">
        <x:f>MAX(0,AJ7-AJ8)</x:f>
        <x:v>2.5</x:v>
      </x:c>
      <x:c r="AK9" s="21" t="n">
        <x:f>MAX(0,AK7-AK8)</x:f>
        <x:v>2.5</x:v>
      </x:c>
      <x:c r="AL9" s="21" t="n">
        <x:f>MAX(0,AL7-AL8)</x:f>
        <x:v>2.5</x:v>
      </x:c>
      <x:c r="AM9" s="21" t="n">
        <x:f>MAX(0,AM7-AM8)</x:f>
        <x:v>2.5</x:v>
      </x:c>
      <x:c r="AN9" s="3"/>
    </x:row>
    <x:row r="10" ht="24" customHeight="1">
      <x:c r="A10" s="1"/>
      <x:c r="B10" s="1"/>
      <x:c r="C10" s="1" t="str">
        <x:v>独立品牌CAC现金支出</x:v>
      </x:c>
      <x:c r="D10" s="15" t="n">
        <x:f>IF(D$5&lt;='假设'!$D$25+1,0,D9*'假设'!$D$20)</x:f>
        <x:v>0</x:v>
      </x:c>
      <x:c r="E10" s="15" t="n">
        <x:f>IF(E$5&lt;='假设'!$D$25+1,0,E9*'假设'!$D$20)</x:f>
        <x:v>0</x:v>
      </x:c>
      <x:c r="F10" s="15" t="n">
        <x:f>IF(F$5&lt;='假设'!$D$25+1,0,F9*'假设'!$D$20)</x:f>
        <x:v>0</x:v>
      </x:c>
      <x:c r="G10" s="15" t="n">
        <x:f>IF(G$5&lt;='假设'!$D$25+1,0,G9*'假设'!$D$20)</x:f>
        <x:v>0</x:v>
      </x:c>
      <x:c r="H10" s="15" t="n">
        <x:f>IF(H$5&lt;='假设'!$D$25+1,0,H9*'假设'!$D$20)</x:f>
        <x:v>0</x:v>
      </x:c>
      <x:c r="I10" s="15" t="n">
        <x:f>IF(I$5&lt;='假设'!$D$25+1,0,I9*'假设'!$D$20)</x:f>
        <x:v>3300.0000000000005</x:v>
      </x:c>
      <x:c r="J10" s="15" t="n">
        <x:f>IF(J$5&lt;='假设'!$D$25+1,0,J9*'假设'!$D$20)</x:f>
        <x:v>3450.000000000001</x:v>
      </x:c>
      <x:c r="K10" s="15" t="n">
        <x:f>IF(K$5&lt;='假设'!$D$25+1,0,K9*'假设'!$D$20)</x:f>
        <x:v>3600.0000000000005</x:v>
      </x:c>
      <x:c r="L10" s="15" t="n">
        <x:f>IF(L$5&lt;='假设'!$D$25+1,0,L9*'假设'!$D$20)</x:f>
        <x:v>3750</x:v>
      </x:c>
      <x:c r="M10" s="15" t="n">
        <x:f>IF(M$5&lt;='假设'!$D$25+1,0,M9*'假设'!$D$20)</x:f>
        <x:v>3900.0000000000023</x:v>
      </x:c>
      <x:c r="N10" s="15" t="n">
        <x:f>IF(N$5&lt;='假设'!$D$25+1,0,N9*'假设'!$D$20)</x:f>
        <x:v>4050.000000000002</x:v>
      </x:c>
      <x:c r="O10" s="15" t="n">
        <x:f>IF(O$5&lt;='假设'!$D$25+1,0,O9*'假设'!$D$20)</x:f>
        <x:v>4200.000000000001</x:v>
      </x:c>
      <x:c r="P10" s="15" t="n">
        <x:f>IF(P$5&lt;='假设'!$D$25+1,0,P9*'假设'!$D$20)</x:f>
        <x:v>4350.000000000004</x:v>
      </x:c>
      <x:c r="Q10" s="15" t="n">
        <x:f>IF(Q$5&lt;='假设'!$D$25+1,0,Q9*'假设'!$D$20)</x:f>
        <x:v>4500</x:v>
      </x:c>
      <x:c r="R10" s="15" t="n">
        <x:f>IF(R$5&lt;='假设'!$D$25+1,0,R9*'假设'!$D$20)</x:f>
        <x:v>4650.000000000002</x:v>
      </x:c>
      <x:c r="S10" s="15" t="n">
        <x:f>IF(S$5&lt;='假设'!$D$25+1,0,S9*'假设'!$D$20)</x:f>
        <x:v>4800.000000000005</x:v>
      </x:c>
      <x:c r="T10" s="15" t="n">
        <x:f>IF(T$5&lt;='假设'!$D$25+1,0,T9*'假设'!$D$20)</x:f>
        <x:v>4950.000000000001</x:v>
      </x:c>
      <x:c r="U10" s="15" t="n">
        <x:f>IF(U$5&lt;='假设'!$D$25+1,0,U9*'假设'!$D$20)</x:f>
        <x:v>5100.000000000004</x:v>
      </x:c>
      <x:c r="V10" s="15" t="n">
        <x:f>IF(V$5&lt;='假设'!$D$25+1,0,V9*'假设'!$D$20)</x:f>
        <x:v>5250</x:v>
      </x:c>
      <x:c r="W10" s="15" t="n">
        <x:f>IF(W$5&lt;='假设'!$D$25+1,0,W9*'假设'!$D$20)</x:f>
        <x:v>5400.000000000002</x:v>
      </x:c>
      <x:c r="X10" s="15" t="n">
        <x:f>IF(X$5&lt;='假设'!$D$25+1,0,X9*'假设'!$D$20)</x:f>
        <x:v>5550.000000000005</x:v>
      </x:c>
      <x:c r="Y10" s="15" t="n">
        <x:f>IF(Y$5&lt;='假设'!$D$25+1,0,Y9*'假设'!$D$20)</x:f>
        <x:v>5700.000000000006</x:v>
      </x:c>
      <x:c r="Z10" s="15" t="n">
        <x:f>IF(Z$5&lt;='假设'!$D$25+1,0,Z9*'假设'!$D$20)</x:f>
        <x:v>5849.999999999998</x:v>
      </x:c>
      <x:c r="AA10" s="15" t="n">
        <x:f>IF(AA$5&lt;='假设'!$D$25+1,0,AA9*'假设'!$D$20)</x:f>
        <x:v>6000</x:v>
      </x:c>
      <x:c r="AB10" s="15" t="n">
        <x:f>IF(AB$5&lt;='假设'!$D$25+1,0,AB9*'假设'!$D$20)</x:f>
        <x:v>6150.000000000002</x:v>
      </x:c>
      <x:c r="AC10" s="15" t="n">
        <x:f>IF(AC$5&lt;='假设'!$D$25+1,0,AC9*'假设'!$D$20)</x:f>
        <x:v>6300.000000000005</x:v>
      </x:c>
      <x:c r="AD10" s="15" t="n">
        <x:f>IF(AD$5&lt;='假设'!$D$25+1,0,AD9*'假设'!$D$20)</x:f>
        <x:v>6450.000000000006</x:v>
      </x:c>
      <x:c r="AE10" s="15" t="n">
        <x:f>IF(AE$5&lt;='假设'!$D$25+1,0,AE9*'假设'!$D$20)</x:f>
        <x:v>6600.000000000008</x:v>
      </x:c>
      <x:c r="AF10" s="15" t="n">
        <x:f>IF(AF$5&lt;='假设'!$D$25+1,0,AF9*'假设'!$D$20)</x:f>
        <x:v>3750</x:v>
      </x:c>
      <x:c r="AG10" s="15" t="n">
        <x:f>IF(AG$5&lt;='假设'!$D$25+1,0,AG9*'假设'!$D$20)</x:f>
        <x:v>3750</x:v>
      </x:c>
      <x:c r="AH10" s="15" t="n">
        <x:f>IF(AH$5&lt;='假设'!$D$25+1,0,AH9*'假设'!$D$20)</x:f>
        <x:v>3750</x:v>
      </x:c>
      <x:c r="AI10" s="15" t="n">
        <x:f>IF(AI$5&lt;='假设'!$D$25+1,0,AI9*'假设'!$D$20)</x:f>
        <x:v>3750</x:v>
      </x:c>
      <x:c r="AJ10" s="15" t="n">
        <x:f>IF(AJ$5&lt;='假设'!$D$25+1,0,AJ9*'假设'!$D$20)</x:f>
        <x:v>3750</x:v>
      </x:c>
      <x:c r="AK10" s="15" t="n">
        <x:f>IF(AK$5&lt;='假设'!$D$25+1,0,AK9*'假设'!$D$20)</x:f>
        <x:v>3750</x:v>
      </x:c>
      <x:c r="AL10" s="15" t="n">
        <x:f>IF(AL$5&lt;='假设'!$D$25+1,0,AL9*'假设'!$D$20)</x:f>
        <x:v>3750</x:v>
      </x:c>
      <x:c r="AM10" s="15" t="n">
        <x:f>IF(AM$5&lt;='假设'!$D$25+1,0,AM9*'假设'!$D$20)</x:f>
        <x:v>3750</x:v>
      </x:c>
      <x:c r="AN10" s="3"/>
    </x:row>
    <x:row r="11" ht="24" customHeight="1">
      <x:c r="A11" s="1"/>
      <x:c r="B11" s="1"/>
      <x:c r="C11" s="1" t="str">
        <x:v>合格播放需求</x:v>
      </x:c>
      <x:c r="D11" s="15" t="n">
        <x:f>D6*'单位经济'!$D$10</x:f>
        <x:v>0</x:v>
      </x:c>
      <x:c r="E11" s="15" t="n">
        <x:f>E6*'单位经济'!$D$10</x:f>
        <x:v>0</x:v>
      </x:c>
      <x:c r="F11" s="15" t="n">
        <x:f>F6*'单位经济'!$D$10</x:f>
        <x:v>0</x:v>
      </x:c>
      <x:c r="G11" s="15" t="n">
        <x:f>G6*'单位经济'!$D$10</x:f>
        <x:v>0</x:v>
      </x:c>
      <x:c r="H11" s="15" t="n">
        <x:f>H6*'单位经济'!$D$10</x:f>
        <x:v>16000000</x:v>
      </x:c>
      <x:c r="I11" s="15" t="n">
        <x:f>I6*'单位经济'!$D$10</x:f>
        <x:v>24000000</x:v>
      </x:c>
      <x:c r="J11" s="15" t="n">
        <x:f>J6*'单位经济'!$D$10</x:f>
        <x:v>32000000</x:v>
      </x:c>
      <x:c r="K11" s="15" t="n">
        <x:f>K6*'单位经济'!$D$10</x:f>
        <x:v>40000000</x:v>
      </x:c>
      <x:c r="L11" s="15" t="n">
        <x:f>L6*'单位经济'!$D$10</x:f>
        <x:v>48000000</x:v>
      </x:c>
      <x:c r="M11" s="15" t="n">
        <x:f>M6*'单位经济'!$D$10</x:f>
        <x:v>56000000</x:v>
      </x:c>
      <x:c r="N11" s="15" t="n">
        <x:f>N6*'单位经济'!$D$10</x:f>
        <x:v>64000000</x:v>
      </x:c>
      <x:c r="O11" s="15" t="n">
        <x:f>O6*'单位经济'!$D$10</x:f>
        <x:v>72000000</x:v>
      </x:c>
      <x:c r="P11" s="15" t="n">
        <x:f>P6*'单位经济'!$D$10</x:f>
        <x:v>80000000</x:v>
      </x:c>
      <x:c r="Q11" s="15" t="n">
        <x:f>Q6*'单位经济'!$D$10</x:f>
        <x:v>88000000</x:v>
      </x:c>
      <x:c r="R11" s="15" t="n">
        <x:f>R6*'单位经济'!$D$10</x:f>
        <x:v>96000000</x:v>
      </x:c>
      <x:c r="S11" s="15" t="n">
        <x:f>S6*'单位经济'!$D$10</x:f>
        <x:v>104000000</x:v>
      </x:c>
      <x:c r="T11" s="15" t="n">
        <x:f>T6*'单位经济'!$D$10</x:f>
        <x:v>112000000</x:v>
      </x:c>
      <x:c r="U11" s="15" t="n">
        <x:f>U6*'单位经济'!$D$10</x:f>
        <x:v>120000000</x:v>
      </x:c>
      <x:c r="V11" s="15" t="n">
        <x:f>V6*'单位经济'!$D$10</x:f>
        <x:v>128000000</x:v>
      </x:c>
      <x:c r="W11" s="15" t="n">
        <x:f>W6*'单位经济'!$D$10</x:f>
        <x:v>136000000</x:v>
      </x:c>
      <x:c r="X11" s="15" t="n">
        <x:f>X6*'单位经济'!$D$10</x:f>
        <x:v>144000000</x:v>
      </x:c>
      <x:c r="Y11" s="15" t="n">
        <x:f>Y6*'单位经济'!$D$10</x:f>
        <x:v>152000000</x:v>
      </x:c>
      <x:c r="Z11" s="15" t="n">
        <x:f>Z6*'单位经济'!$D$10</x:f>
        <x:v>160000000</x:v>
      </x:c>
      <x:c r="AA11" s="15" t="n">
        <x:f>AA6*'单位经济'!$D$10</x:f>
        <x:v>168000000</x:v>
      </x:c>
      <x:c r="AB11" s="15" t="n">
        <x:f>AB6*'单位经济'!$D$10</x:f>
        <x:v>176000000</x:v>
      </x:c>
      <x:c r="AC11" s="15" t="n">
        <x:f>AC6*'单位经济'!$D$10</x:f>
        <x:v>184000000</x:v>
      </x:c>
      <x:c r="AD11" s="15" t="n">
        <x:f>AD6*'单位经济'!$D$10</x:f>
        <x:v>192000000</x:v>
      </x:c>
      <x:c r="AE11" s="15" t="n">
        <x:f>AE6*'单位经济'!$D$10</x:f>
        <x:v>200000000</x:v>
      </x:c>
      <x:c r="AF11" s="15" t="n">
        <x:f>AF6*'单位经济'!$D$10</x:f>
        <x:v>200000000</x:v>
      </x:c>
      <x:c r="AG11" s="15" t="n">
        <x:f>AG6*'单位经济'!$D$10</x:f>
        <x:v>200000000</x:v>
      </x:c>
      <x:c r="AH11" s="15" t="n">
        <x:f>AH6*'单位经济'!$D$10</x:f>
        <x:v>200000000</x:v>
      </x:c>
      <x:c r="AI11" s="15" t="n">
        <x:f>AI6*'单位经济'!$D$10</x:f>
        <x:v>200000000</x:v>
      </x:c>
      <x:c r="AJ11" s="15" t="n">
        <x:f>AJ6*'单位经济'!$D$10</x:f>
        <x:v>200000000</x:v>
      </x:c>
      <x:c r="AK11" s="15" t="n">
        <x:f>AK6*'单位经济'!$D$10</x:f>
        <x:v>200000000</x:v>
      </x:c>
      <x:c r="AL11" s="15" t="n">
        <x:f>AL6*'单位经济'!$D$10</x:f>
        <x:v>200000000</x:v>
      </x:c>
      <x:c r="AM11" s="15" t="n">
        <x:f>AM6*'单位经济'!$D$10</x:f>
        <x:v>200000000</x:v>
      </x:c>
      <x:c r="AN11" s="3"/>
    </x:row>
    <x:row r="12" ht="24" customHeight="1">
      <x:c r="A12" s="1"/>
      <x:c r="B12" s="1"/>
      <x:c r="C12" s="1" t="str">
        <x:v>创作者奖励代转（非收入）</x:v>
      </x:c>
      <x:c r="D12" s="15" t="n">
        <x:f>D6*'假设'!$D$6</x:f>
        <x:v>0</x:v>
      </x:c>
      <x:c r="E12" s="15" t="n">
        <x:f>E6*'假设'!$D$6</x:f>
        <x:v>0</x:v>
      </x:c>
      <x:c r="F12" s="15" t="n">
        <x:f>F6*'假设'!$D$6</x:f>
        <x:v>0</x:v>
      </x:c>
      <x:c r="G12" s="15" t="n">
        <x:f>G6*'假设'!$D$6</x:f>
        <x:v>0</x:v>
      </x:c>
      <x:c r="H12" s="15" t="n">
        <x:f>H6*'假设'!$D$6</x:f>
        <x:v>80000</x:v>
      </x:c>
      <x:c r="I12" s="15" t="n">
        <x:f>I6*'假设'!$D$6</x:f>
        <x:v>120000</x:v>
      </x:c>
      <x:c r="J12" s="15" t="n">
        <x:f>J6*'假设'!$D$6</x:f>
        <x:v>160000</x:v>
      </x:c>
      <x:c r="K12" s="15" t="n">
        <x:f>K6*'假设'!$D$6</x:f>
        <x:v>200000</x:v>
      </x:c>
      <x:c r="L12" s="15" t="n">
        <x:f>L6*'假设'!$D$6</x:f>
        <x:v>240000</x:v>
      </x:c>
      <x:c r="M12" s="15" t="n">
        <x:f>M6*'假设'!$D$6</x:f>
        <x:v>280000</x:v>
      </x:c>
      <x:c r="N12" s="15" t="n">
        <x:f>N6*'假设'!$D$6</x:f>
        <x:v>320000</x:v>
      </x:c>
      <x:c r="O12" s="15" t="n">
        <x:f>O6*'假设'!$D$6</x:f>
        <x:v>360000</x:v>
      </x:c>
      <x:c r="P12" s="15" t="n">
        <x:f>P6*'假设'!$D$6</x:f>
        <x:v>400000</x:v>
      </x:c>
      <x:c r="Q12" s="15" t="n">
        <x:f>Q6*'假设'!$D$6</x:f>
        <x:v>440000</x:v>
      </x:c>
      <x:c r="R12" s="15" t="n">
        <x:f>R6*'假设'!$D$6</x:f>
        <x:v>480000</x:v>
      </x:c>
      <x:c r="S12" s="15" t="n">
        <x:f>S6*'假设'!$D$6</x:f>
        <x:v>520000</x:v>
      </x:c>
      <x:c r="T12" s="15" t="n">
        <x:f>T6*'假设'!$D$6</x:f>
        <x:v>560000</x:v>
      </x:c>
      <x:c r="U12" s="15" t="n">
        <x:f>U6*'假设'!$D$6</x:f>
        <x:v>600000</x:v>
      </x:c>
      <x:c r="V12" s="15" t="n">
        <x:f>V6*'假设'!$D$6</x:f>
        <x:v>640000</x:v>
      </x:c>
      <x:c r="W12" s="15" t="n">
        <x:f>W6*'假设'!$D$6</x:f>
        <x:v>680000</x:v>
      </x:c>
      <x:c r="X12" s="15" t="n">
        <x:f>X6*'假设'!$D$6</x:f>
        <x:v>720000</x:v>
      </x:c>
      <x:c r="Y12" s="15" t="n">
        <x:f>Y6*'假设'!$D$6</x:f>
        <x:v>760000</x:v>
      </x:c>
      <x:c r="Z12" s="15" t="n">
        <x:f>Z6*'假设'!$D$6</x:f>
        <x:v>800000</x:v>
      </x:c>
      <x:c r="AA12" s="15" t="n">
        <x:f>AA6*'假设'!$D$6</x:f>
        <x:v>840000</x:v>
      </x:c>
      <x:c r="AB12" s="15" t="n">
        <x:f>AB6*'假设'!$D$6</x:f>
        <x:v>880000</x:v>
      </x:c>
      <x:c r="AC12" s="15" t="n">
        <x:f>AC6*'假设'!$D$6</x:f>
        <x:v>920000</x:v>
      </x:c>
      <x:c r="AD12" s="15" t="n">
        <x:f>AD6*'假设'!$D$6</x:f>
        <x:v>960000</x:v>
      </x:c>
      <x:c r="AE12" s="15" t="n">
        <x:f>AE6*'假设'!$D$6</x:f>
        <x:v>1000000</x:v>
      </x:c>
      <x:c r="AF12" s="15" t="n">
        <x:f>AF6*'假设'!$D$6</x:f>
        <x:v>1000000</x:v>
      </x:c>
      <x:c r="AG12" s="15" t="n">
        <x:f>AG6*'假设'!$D$6</x:f>
        <x:v>1000000</x:v>
      </x:c>
      <x:c r="AH12" s="15" t="n">
        <x:f>AH6*'假设'!$D$6</x:f>
        <x:v>1000000</x:v>
      </x:c>
      <x:c r="AI12" s="15" t="n">
        <x:f>AI6*'假设'!$D$6</x:f>
        <x:v>1000000</x:v>
      </x:c>
      <x:c r="AJ12" s="15" t="n">
        <x:f>AJ6*'假设'!$D$6</x:f>
        <x:v>1000000</x:v>
      </x:c>
      <x:c r="AK12" s="15" t="n">
        <x:f>AK6*'假设'!$D$6</x:f>
        <x:v>1000000</x:v>
      </x:c>
      <x:c r="AL12" s="15" t="n">
        <x:f>AL6*'假设'!$D$6</x:f>
        <x:v>1000000</x:v>
      </x:c>
      <x:c r="AM12" s="15" t="n">
        <x:f>AM6*'假设'!$D$6</x:f>
        <x:v>1000000</x:v>
      </x:c>
      <x:c r="AN12" s="3"/>
    </x:row>
    <x:row r="13" ht="24" customHeight="1">
      <x:c r="A13" s="1"/>
      <x:c r="B13" s="1"/>
      <x:c r="C13" s="1" t="str">
        <x:v>品牌总支出（未税）</x:v>
      </x:c>
      <x:c r="D13" s="2" t="n">
        <x:f>D12+D14</x:f>
        <x:v>0</x:v>
      </x:c>
      <x:c r="E13" s="2" t="n">
        <x:f>E12+E14</x:f>
        <x:v>0</x:v>
      </x:c>
      <x:c r="F13" s="2" t="n">
        <x:f>F12+F14</x:f>
        <x:v>0</x:v>
      </x:c>
      <x:c r="G13" s="2" t="n">
        <x:f>G12+G14</x:f>
        <x:v>0</x:v>
      </x:c>
      <x:c r="H13" s="2" t="n">
        <x:f>H12+H14</x:f>
        <x:v>92000</x:v>
      </x:c>
      <x:c r="I13" s="2" t="n">
        <x:f>I12+I14</x:f>
        <x:v>138000</x:v>
      </x:c>
      <x:c r="J13" s="2" t="n">
        <x:f>J12+J14</x:f>
        <x:v>184000</x:v>
      </x:c>
      <x:c r="K13" s="2" t="n">
        <x:f>K12+K14</x:f>
        <x:v>230000</x:v>
      </x:c>
      <x:c r="L13" s="2" t="n">
        <x:f>L12+L14</x:f>
        <x:v>276000</x:v>
      </x:c>
      <x:c r="M13" s="2" t="n">
        <x:f>M12+M14</x:f>
        <x:v>322000</x:v>
      </x:c>
      <x:c r="N13" s="2" t="n">
        <x:f>N12+N14</x:f>
        <x:v>368000</x:v>
      </x:c>
      <x:c r="O13" s="2" t="n">
        <x:f>O12+O14</x:f>
        <x:v>414000</x:v>
      </x:c>
      <x:c r="P13" s="2" t="n">
        <x:f>P12+P14</x:f>
        <x:v>460000</x:v>
      </x:c>
      <x:c r="Q13" s="2" t="n">
        <x:f>Q12+Q14</x:f>
        <x:v>506000</x:v>
      </x:c>
      <x:c r="R13" s="2" t="n">
        <x:f>R12+R14</x:f>
        <x:v>552000</x:v>
      </x:c>
      <x:c r="S13" s="2" t="n">
        <x:f>S12+S14</x:f>
        <x:v>598000</x:v>
      </x:c>
      <x:c r="T13" s="2" t="n">
        <x:f>T12+T14</x:f>
        <x:v>644000</x:v>
      </x:c>
      <x:c r="U13" s="2" t="n">
        <x:f>U12+U14</x:f>
        <x:v>690000</x:v>
      </x:c>
      <x:c r="V13" s="2" t="n">
        <x:f>V12+V14</x:f>
        <x:v>736000</x:v>
      </x:c>
      <x:c r="W13" s="2" t="n">
        <x:f>W12+W14</x:f>
        <x:v>782000</x:v>
      </x:c>
      <x:c r="X13" s="2" t="n">
        <x:f>X12+X14</x:f>
        <x:v>828000</x:v>
      </x:c>
      <x:c r="Y13" s="2" t="n">
        <x:f>Y12+Y14</x:f>
        <x:v>874000</x:v>
      </x:c>
      <x:c r="Z13" s="2" t="n">
        <x:f>Z12+Z14</x:f>
        <x:v>920000</x:v>
      </x:c>
      <x:c r="AA13" s="2" t="n">
        <x:f>AA12+AA14</x:f>
        <x:v>966000</x:v>
      </x:c>
      <x:c r="AB13" s="2" t="n">
        <x:f>AB12+AB14</x:f>
        <x:v>1012000</x:v>
      </x:c>
      <x:c r="AC13" s="2" t="n">
        <x:f>AC12+AC14</x:f>
        <x:v>1058000</x:v>
      </x:c>
      <x:c r="AD13" s="2" t="n">
        <x:f>AD12+AD14</x:f>
        <x:v>1104000</x:v>
      </x:c>
      <x:c r="AE13" s="2" t="n">
        <x:f>AE12+AE14</x:f>
        <x:v>1150000</x:v>
      </x:c>
      <x:c r="AF13" s="2" t="n">
        <x:f>AF12+AF14</x:f>
        <x:v>1150000</x:v>
      </x:c>
      <x:c r="AG13" s="2" t="n">
        <x:f>AG12+AG14</x:f>
        <x:v>1150000</x:v>
      </x:c>
      <x:c r="AH13" s="2" t="n">
        <x:f>AH12+AH14</x:f>
        <x:v>1150000</x:v>
      </x:c>
      <x:c r="AI13" s="2" t="n">
        <x:f>AI12+AI14</x:f>
        <x:v>1150000</x:v>
      </x:c>
      <x:c r="AJ13" s="2" t="n">
        <x:f>AJ12+AJ14</x:f>
        <x:v>1150000</x:v>
      </x:c>
      <x:c r="AK13" s="2" t="n">
        <x:f>AK12+AK14</x:f>
        <x:v>1150000</x:v>
      </x:c>
      <x:c r="AL13" s="2" t="n">
        <x:f>AL12+AL14</x:f>
        <x:v>1150000</x:v>
      </x:c>
      <x:c r="AM13" s="2" t="n">
        <x:f>AM12+AM14</x:f>
        <x:v>1150000</x:v>
      </x:c>
      <x:c r="AN13" s="3"/>
    </x:row>
    <x:row r="14" ht="24" customHeight="1">
      <x:c r="A14" s="1"/>
      <x:c r="B14" s="1"/>
      <x:c r="C14" s="22" t="str">
        <x:v>平台服务收入</x:v>
      </x:c>
      <x:c r="D14" s="23" t="n">
        <x:f>D6*'单位经济'!$D$6</x:f>
        <x:v>0</x:v>
      </x:c>
      <x:c r="E14" s="23" t="n">
        <x:f>E6*'单位经济'!$D$6</x:f>
        <x:v>0</x:v>
      </x:c>
      <x:c r="F14" s="23" t="n">
        <x:f>F6*'单位经济'!$D$6</x:f>
        <x:v>0</x:v>
      </x:c>
      <x:c r="G14" s="23" t="n">
        <x:f>G6*'单位经济'!$D$6</x:f>
        <x:v>0</x:v>
      </x:c>
      <x:c r="H14" s="23" t="n">
        <x:f>H6*'单位经济'!$D$6</x:f>
        <x:v>12000</x:v>
      </x:c>
      <x:c r="I14" s="23" t="n">
        <x:f>I6*'单位经济'!$D$6</x:f>
        <x:v>18000</x:v>
      </x:c>
      <x:c r="J14" s="23" t="n">
        <x:f>J6*'单位经济'!$D$6</x:f>
        <x:v>24000</x:v>
      </x:c>
      <x:c r="K14" s="23" t="n">
        <x:f>K6*'单位经济'!$D$6</x:f>
        <x:v>30000</x:v>
      </x:c>
      <x:c r="L14" s="23" t="n">
        <x:f>L6*'单位经济'!$D$6</x:f>
        <x:v>36000</x:v>
      </x:c>
      <x:c r="M14" s="23" t="n">
        <x:f>M6*'单位经济'!$D$6</x:f>
        <x:v>42000</x:v>
      </x:c>
      <x:c r="N14" s="23" t="n">
        <x:f>N6*'单位经济'!$D$6</x:f>
        <x:v>48000</x:v>
      </x:c>
      <x:c r="O14" s="23" t="n">
        <x:f>O6*'单位经济'!$D$6</x:f>
        <x:v>54000</x:v>
      </x:c>
      <x:c r="P14" s="23" t="n">
        <x:f>P6*'单位经济'!$D$6</x:f>
        <x:v>60000</x:v>
      </x:c>
      <x:c r="Q14" s="23" t="n">
        <x:f>Q6*'单位经济'!$D$6</x:f>
        <x:v>66000</x:v>
      </x:c>
      <x:c r="R14" s="23" t="n">
        <x:f>R6*'单位经济'!$D$6</x:f>
        <x:v>72000</x:v>
      </x:c>
      <x:c r="S14" s="23" t="n">
        <x:f>S6*'单位经济'!$D$6</x:f>
        <x:v>78000</x:v>
      </x:c>
      <x:c r="T14" s="23" t="n">
        <x:f>T6*'单位经济'!$D$6</x:f>
        <x:v>84000</x:v>
      </x:c>
      <x:c r="U14" s="23" t="n">
        <x:f>U6*'单位经济'!$D$6</x:f>
        <x:v>90000</x:v>
      </x:c>
      <x:c r="V14" s="23" t="n">
        <x:f>V6*'单位经济'!$D$6</x:f>
        <x:v>96000</x:v>
      </x:c>
      <x:c r="W14" s="23" t="n">
        <x:f>W6*'单位经济'!$D$6</x:f>
        <x:v>102000</x:v>
      </x:c>
      <x:c r="X14" s="23" t="n">
        <x:f>X6*'单位经济'!$D$6</x:f>
        <x:v>108000</x:v>
      </x:c>
      <x:c r="Y14" s="23" t="n">
        <x:f>Y6*'单位经济'!$D$6</x:f>
        <x:v>114000</x:v>
      </x:c>
      <x:c r="Z14" s="23" t="n">
        <x:f>Z6*'单位经济'!$D$6</x:f>
        <x:v>120000</x:v>
      </x:c>
      <x:c r="AA14" s="23" t="n">
        <x:f>AA6*'单位经济'!$D$6</x:f>
        <x:v>126000</x:v>
      </x:c>
      <x:c r="AB14" s="23" t="n">
        <x:f>AB6*'单位经济'!$D$6</x:f>
        <x:v>132000</x:v>
      </x:c>
      <x:c r="AC14" s="23" t="n">
        <x:f>AC6*'单位经济'!$D$6</x:f>
        <x:v>138000</x:v>
      </x:c>
      <x:c r="AD14" s="23" t="n">
        <x:f>AD6*'单位经济'!$D$6</x:f>
        <x:v>144000</x:v>
      </x:c>
      <x:c r="AE14" s="23" t="n">
        <x:f>AE6*'单位经济'!$D$6</x:f>
        <x:v>150000</x:v>
      </x:c>
      <x:c r="AF14" s="23" t="n">
        <x:f>AF6*'单位经济'!$D$6</x:f>
        <x:v>150000</x:v>
      </x:c>
      <x:c r="AG14" s="23" t="n">
        <x:f>AG6*'单位经济'!$D$6</x:f>
        <x:v>150000</x:v>
      </x:c>
      <x:c r="AH14" s="23" t="n">
        <x:f>AH6*'单位经济'!$D$6</x:f>
        <x:v>150000</x:v>
      </x:c>
      <x:c r="AI14" s="23" t="n">
        <x:f>AI6*'单位经济'!$D$6</x:f>
        <x:v>150000</x:v>
      </x:c>
      <x:c r="AJ14" s="23" t="n">
        <x:f>AJ6*'单位经济'!$D$6</x:f>
        <x:v>150000</x:v>
      </x:c>
      <x:c r="AK14" s="23" t="n">
        <x:f>AK6*'单位经济'!$D$6</x:f>
        <x:v>150000</x:v>
      </x:c>
      <x:c r="AL14" s="23" t="n">
        <x:f>AL6*'单位经济'!$D$6</x:f>
        <x:v>150000</x:v>
      </x:c>
      <x:c r="AM14" s="23" t="n">
        <x:f>AM6*'单位经济'!$D$6</x:f>
        <x:v>150000</x:v>
      </x:c>
      <x:c r="AN14" s="3"/>
    </x:row>
    <x:row r="15" ht="24" customHeight="1">
      <x:c r="A15" s="1"/>
      <x:c r="B15" s="1"/>
      <x:c r="C15" s="1" t="str">
        <x:v>可变履约成本</x:v>
      </x:c>
      <x:c r="D15" s="15" t="n">
        <x:f>D6*'单位经济'!$D$11</x:f>
        <x:v>0</x:v>
      </x:c>
      <x:c r="E15" s="15" t="n">
        <x:f>E6*'单位经济'!$D$11</x:f>
        <x:v>0</x:v>
      </x:c>
      <x:c r="F15" s="15" t="n">
        <x:f>F6*'单位经济'!$D$11</x:f>
        <x:v>0</x:v>
      </x:c>
      <x:c r="G15" s="15" t="n">
        <x:f>G6*'单位经济'!$D$11</x:f>
        <x:v>0</x:v>
      </x:c>
      <x:c r="H15" s="15" t="n">
        <x:f>H6*'单位经济'!$D$11</x:f>
        <x:v>4800</x:v>
      </x:c>
      <x:c r="I15" s="15" t="n">
        <x:f>I6*'单位经济'!$D$11</x:f>
        <x:v>7200</x:v>
      </x:c>
      <x:c r="J15" s="15" t="n">
        <x:f>J6*'单位经济'!$D$11</x:f>
        <x:v>9600</x:v>
      </x:c>
      <x:c r="K15" s="15" t="n">
        <x:f>K6*'单位经济'!$D$11</x:f>
        <x:v>12000</x:v>
      </x:c>
      <x:c r="L15" s="15" t="n">
        <x:f>L6*'单位经济'!$D$11</x:f>
        <x:v>14400</x:v>
      </x:c>
      <x:c r="M15" s="15" t="n">
        <x:f>M6*'单位经济'!$D$11</x:f>
        <x:v>16800</x:v>
      </x:c>
      <x:c r="N15" s="15" t="n">
        <x:f>N6*'单位经济'!$D$11</x:f>
        <x:v>19200</x:v>
      </x:c>
      <x:c r="O15" s="15" t="n">
        <x:f>O6*'单位经济'!$D$11</x:f>
        <x:v>21600</x:v>
      </x:c>
      <x:c r="P15" s="15" t="n">
        <x:f>P6*'单位经济'!$D$11</x:f>
        <x:v>24000</x:v>
      </x:c>
      <x:c r="Q15" s="15" t="n">
        <x:f>Q6*'单位经济'!$D$11</x:f>
        <x:v>26400</x:v>
      </x:c>
      <x:c r="R15" s="15" t="n">
        <x:f>R6*'单位经济'!$D$11</x:f>
        <x:v>28800</x:v>
      </x:c>
      <x:c r="S15" s="15" t="n">
        <x:f>S6*'单位经济'!$D$11</x:f>
        <x:v>31200</x:v>
      </x:c>
      <x:c r="T15" s="15" t="n">
        <x:f>T6*'单位经济'!$D$11</x:f>
        <x:v>33600</x:v>
      </x:c>
      <x:c r="U15" s="15" t="n">
        <x:f>U6*'单位经济'!$D$11</x:f>
        <x:v>36000</x:v>
      </x:c>
      <x:c r="V15" s="15" t="n">
        <x:f>V6*'单位经济'!$D$11</x:f>
        <x:v>38400</x:v>
      </x:c>
      <x:c r="W15" s="15" t="n">
        <x:f>W6*'单位经济'!$D$11</x:f>
        <x:v>40800</x:v>
      </x:c>
      <x:c r="X15" s="15" t="n">
        <x:f>X6*'单位经济'!$D$11</x:f>
        <x:v>43200</x:v>
      </x:c>
      <x:c r="Y15" s="15" t="n">
        <x:f>Y6*'单位经济'!$D$11</x:f>
        <x:v>45600</x:v>
      </x:c>
      <x:c r="Z15" s="15" t="n">
        <x:f>Z6*'单位经济'!$D$11</x:f>
        <x:v>48000</x:v>
      </x:c>
      <x:c r="AA15" s="15" t="n">
        <x:f>AA6*'单位经济'!$D$11</x:f>
        <x:v>50400</x:v>
      </x:c>
      <x:c r="AB15" s="15" t="n">
        <x:f>AB6*'单位经济'!$D$11</x:f>
        <x:v>52800</x:v>
      </x:c>
      <x:c r="AC15" s="15" t="n">
        <x:f>AC6*'单位经济'!$D$11</x:f>
        <x:v>55200</x:v>
      </x:c>
      <x:c r="AD15" s="15" t="n">
        <x:f>AD6*'单位经济'!$D$11</x:f>
        <x:v>57600</x:v>
      </x:c>
      <x:c r="AE15" s="15" t="n">
        <x:f>AE6*'单位经济'!$D$11</x:f>
        <x:v>60000</x:v>
      </x:c>
      <x:c r="AF15" s="15" t="n">
        <x:f>AF6*'单位经济'!$D$11</x:f>
        <x:v>60000</x:v>
      </x:c>
      <x:c r="AG15" s="15" t="n">
        <x:f>AG6*'单位经济'!$D$11</x:f>
        <x:v>60000</x:v>
      </x:c>
      <x:c r="AH15" s="15" t="n">
        <x:f>AH6*'单位经济'!$D$11</x:f>
        <x:v>60000</x:v>
      </x:c>
      <x:c r="AI15" s="15" t="n">
        <x:f>AI6*'单位经济'!$D$11</x:f>
        <x:v>60000</x:v>
      </x:c>
      <x:c r="AJ15" s="15" t="n">
        <x:f>AJ6*'单位经济'!$D$11</x:f>
        <x:v>60000</x:v>
      </x:c>
      <x:c r="AK15" s="15" t="n">
        <x:f>AK6*'单位经济'!$D$11</x:f>
        <x:v>60000</x:v>
      </x:c>
      <x:c r="AL15" s="15" t="n">
        <x:f>AL6*'单位经济'!$D$11</x:f>
        <x:v>60000</x:v>
      </x:c>
      <x:c r="AM15" s="15" t="n">
        <x:f>AM6*'单位经济'!$D$11</x:f>
        <x:v>60000</x:v>
      </x:c>
      <x:c r="AN15" s="3"/>
    </x:row>
    <x:row r="16" ht="24" customHeight="1">
      <x:c r="A16" s="1"/>
      <x:c r="B16" s="1"/>
      <x:c r="C16" s="1" t="str">
        <x:v>固定履约成本</x:v>
      </x:c>
      <x:c r="D16" s="15" t="n">
        <x:f>IF(D$5&gt;'假设'!$D$25,'假设'!$D$14,0)</x:f>
        <x:v>0</x:v>
      </x:c>
      <x:c r="E16" s="15" t="n">
        <x:f>IF(E$5&gt;'假设'!$D$25,'假设'!$D$14,0)</x:f>
        <x:v>0</x:v>
      </x:c>
      <x:c r="F16" s="15" t="n">
        <x:f>IF(F$5&gt;'假设'!$D$25,'假设'!$D$14,0)</x:f>
        <x:v>0</x:v>
      </x:c>
      <x:c r="G16" s="15" t="n">
        <x:f>IF(G$5&gt;'假设'!$D$25,'假设'!$D$14,0)</x:f>
        <x:v>0</x:v>
      </x:c>
      <x:c r="H16" s="15" t="n">
        <x:f>IF(H$5&gt;'假设'!$D$25,'假设'!$D$14,0)</x:f>
        <x:v>2000</x:v>
      </x:c>
      <x:c r="I16" s="15" t="n">
        <x:f>IF(I$5&gt;'假设'!$D$25,'假设'!$D$14,0)</x:f>
        <x:v>2000</x:v>
      </x:c>
      <x:c r="J16" s="15" t="n">
        <x:f>IF(J$5&gt;'假设'!$D$25,'假设'!$D$14,0)</x:f>
        <x:v>2000</x:v>
      </x:c>
      <x:c r="K16" s="15" t="n">
        <x:f>IF(K$5&gt;'假设'!$D$25,'假设'!$D$14,0)</x:f>
        <x:v>2000</x:v>
      </x:c>
      <x:c r="L16" s="15" t="n">
        <x:f>IF(L$5&gt;'假设'!$D$25,'假设'!$D$14,0)</x:f>
        <x:v>2000</x:v>
      </x:c>
      <x:c r="M16" s="15" t="n">
        <x:f>IF(M$5&gt;'假设'!$D$25,'假设'!$D$14,0)</x:f>
        <x:v>2000</x:v>
      </x:c>
      <x:c r="N16" s="15" t="n">
        <x:f>IF(N$5&gt;'假设'!$D$25,'假设'!$D$14,0)</x:f>
        <x:v>2000</x:v>
      </x:c>
      <x:c r="O16" s="15" t="n">
        <x:f>IF(O$5&gt;'假设'!$D$25,'假设'!$D$14,0)</x:f>
        <x:v>2000</x:v>
      </x:c>
      <x:c r="P16" s="15" t="n">
        <x:f>IF(P$5&gt;'假设'!$D$25,'假设'!$D$14,0)</x:f>
        <x:v>2000</x:v>
      </x:c>
      <x:c r="Q16" s="15" t="n">
        <x:f>IF(Q$5&gt;'假设'!$D$25,'假设'!$D$14,0)</x:f>
        <x:v>2000</x:v>
      </x:c>
      <x:c r="R16" s="15" t="n">
        <x:f>IF(R$5&gt;'假设'!$D$25,'假设'!$D$14,0)</x:f>
        <x:v>2000</x:v>
      </x:c>
      <x:c r="S16" s="15" t="n">
        <x:f>IF(S$5&gt;'假设'!$D$25,'假设'!$D$14,0)</x:f>
        <x:v>2000</x:v>
      </x:c>
      <x:c r="T16" s="15" t="n">
        <x:f>IF(T$5&gt;'假设'!$D$25,'假设'!$D$14,0)</x:f>
        <x:v>2000</x:v>
      </x:c>
      <x:c r="U16" s="15" t="n">
        <x:f>IF(U$5&gt;'假设'!$D$25,'假设'!$D$14,0)</x:f>
        <x:v>2000</x:v>
      </x:c>
      <x:c r="V16" s="15" t="n">
        <x:f>IF(V$5&gt;'假设'!$D$25,'假设'!$D$14,0)</x:f>
        <x:v>2000</x:v>
      </x:c>
      <x:c r="W16" s="15" t="n">
        <x:f>IF(W$5&gt;'假设'!$D$25,'假设'!$D$14,0)</x:f>
        <x:v>2000</x:v>
      </x:c>
      <x:c r="X16" s="15" t="n">
        <x:f>IF(X$5&gt;'假设'!$D$25,'假设'!$D$14,0)</x:f>
        <x:v>2000</x:v>
      </x:c>
      <x:c r="Y16" s="15" t="n">
        <x:f>IF(Y$5&gt;'假设'!$D$25,'假设'!$D$14,0)</x:f>
        <x:v>2000</x:v>
      </x:c>
      <x:c r="Z16" s="15" t="n">
        <x:f>IF(Z$5&gt;'假设'!$D$25,'假设'!$D$14,0)</x:f>
        <x:v>2000</x:v>
      </x:c>
      <x:c r="AA16" s="15" t="n">
        <x:f>IF(AA$5&gt;'假设'!$D$25,'假设'!$D$14,0)</x:f>
        <x:v>2000</x:v>
      </x:c>
      <x:c r="AB16" s="15" t="n">
        <x:f>IF(AB$5&gt;'假设'!$D$25,'假设'!$D$14,0)</x:f>
        <x:v>2000</x:v>
      </x:c>
      <x:c r="AC16" s="15" t="n">
        <x:f>IF(AC$5&gt;'假设'!$D$25,'假设'!$D$14,0)</x:f>
        <x:v>2000</x:v>
      </x:c>
      <x:c r="AD16" s="15" t="n">
        <x:f>IF(AD$5&gt;'假设'!$D$25,'假设'!$D$14,0)</x:f>
        <x:v>2000</x:v>
      </x:c>
      <x:c r="AE16" s="15" t="n">
        <x:f>IF(AE$5&gt;'假设'!$D$25,'假设'!$D$14,0)</x:f>
        <x:v>2000</x:v>
      </x:c>
      <x:c r="AF16" s="15" t="n">
        <x:f>IF(AF$5&gt;'假设'!$D$25,'假设'!$D$14,0)</x:f>
        <x:v>2000</x:v>
      </x:c>
      <x:c r="AG16" s="15" t="n">
        <x:f>IF(AG$5&gt;'假设'!$D$25,'假设'!$D$14,0)</x:f>
        <x:v>2000</x:v>
      </x:c>
      <x:c r="AH16" s="15" t="n">
        <x:f>IF(AH$5&gt;'假设'!$D$25,'假设'!$D$14,0)</x:f>
        <x:v>2000</x:v>
      </x:c>
      <x:c r="AI16" s="15" t="n">
        <x:f>IF(AI$5&gt;'假设'!$D$25,'假设'!$D$14,0)</x:f>
        <x:v>2000</x:v>
      </x:c>
      <x:c r="AJ16" s="15" t="n">
        <x:f>IF(AJ$5&gt;'假设'!$D$25,'假设'!$D$14,0)</x:f>
        <x:v>2000</x:v>
      </x:c>
      <x:c r="AK16" s="15" t="n">
        <x:f>IF(AK$5&gt;'假设'!$D$25,'假设'!$D$14,0)</x:f>
        <x:v>2000</x:v>
      </x:c>
      <x:c r="AL16" s="15" t="n">
        <x:f>IF(AL$5&gt;'假设'!$D$25,'假设'!$D$14,0)</x:f>
        <x:v>2000</x:v>
      </x:c>
      <x:c r="AM16" s="15" t="n">
        <x:f>IF(AM$5&gt;'假设'!$D$25,'假设'!$D$14,0)</x:f>
        <x:v>2000</x:v>
      </x:c>
      <x:c r="AN16" s="3"/>
    </x:row>
    <x:row r="17" ht="24" customHeight="1">
      <x:c r="A17" s="1"/>
      <x:c r="B17" s="1"/>
      <x:c r="C17" s="1" t="str">
        <x:v>销售成本合计</x:v>
      </x:c>
      <x:c r="D17" s="2" t="n">
        <x:f>SUM(D15:D16)</x:f>
        <x:v>0</x:v>
      </x:c>
      <x:c r="E17" s="2" t="n">
        <x:f>SUM(E15:E16)</x:f>
        <x:v>0</x:v>
      </x:c>
      <x:c r="F17" s="2" t="n">
        <x:f>SUM(F15:F16)</x:f>
        <x:v>0</x:v>
      </x:c>
      <x:c r="G17" s="2" t="n">
        <x:f>SUM(G15:G16)</x:f>
        <x:v>0</x:v>
      </x:c>
      <x:c r="H17" s="2" t="n">
        <x:f>SUM(H15:H16)</x:f>
        <x:v>6800</x:v>
      </x:c>
      <x:c r="I17" s="2" t="n">
        <x:f>SUM(I15:I16)</x:f>
        <x:v>9200</x:v>
      </x:c>
      <x:c r="J17" s="2" t="n">
        <x:f>SUM(J15:J16)</x:f>
        <x:v>11600</x:v>
      </x:c>
      <x:c r="K17" s="2" t="n">
        <x:f>SUM(K15:K16)</x:f>
        <x:v>14000</x:v>
      </x:c>
      <x:c r="L17" s="2" t="n">
        <x:f>SUM(L15:L16)</x:f>
        <x:v>16400</x:v>
      </x:c>
      <x:c r="M17" s="2" t="n">
        <x:f>SUM(M15:M16)</x:f>
        <x:v>18800</x:v>
      </x:c>
      <x:c r="N17" s="2" t="n">
        <x:f>SUM(N15:N16)</x:f>
        <x:v>21200</x:v>
      </x:c>
      <x:c r="O17" s="2" t="n">
        <x:f>SUM(O15:O16)</x:f>
        <x:v>23600</x:v>
      </x:c>
      <x:c r="P17" s="2" t="n">
        <x:f>SUM(P15:P16)</x:f>
        <x:v>26000</x:v>
      </x:c>
      <x:c r="Q17" s="2" t="n">
        <x:f>SUM(Q15:Q16)</x:f>
        <x:v>28400</x:v>
      </x:c>
      <x:c r="R17" s="2" t="n">
        <x:f>SUM(R15:R16)</x:f>
        <x:v>30800</x:v>
      </x:c>
      <x:c r="S17" s="2" t="n">
        <x:f>SUM(S15:S16)</x:f>
        <x:v>33200</x:v>
      </x:c>
      <x:c r="T17" s="2" t="n">
        <x:f>SUM(T15:T16)</x:f>
        <x:v>35600</x:v>
      </x:c>
      <x:c r="U17" s="2" t="n">
        <x:f>SUM(U15:U16)</x:f>
        <x:v>38000</x:v>
      </x:c>
      <x:c r="V17" s="2" t="n">
        <x:f>SUM(V15:V16)</x:f>
        <x:v>40400</x:v>
      </x:c>
      <x:c r="W17" s="2" t="n">
        <x:f>SUM(W15:W16)</x:f>
        <x:v>42800</x:v>
      </x:c>
      <x:c r="X17" s="2" t="n">
        <x:f>SUM(X15:X16)</x:f>
        <x:v>45200</x:v>
      </x:c>
      <x:c r="Y17" s="2" t="n">
        <x:f>SUM(Y15:Y16)</x:f>
        <x:v>47600</x:v>
      </x:c>
      <x:c r="Z17" s="2" t="n">
        <x:f>SUM(Z15:Z16)</x:f>
        <x:v>50000</x:v>
      </x:c>
      <x:c r="AA17" s="2" t="n">
        <x:f>SUM(AA15:AA16)</x:f>
        <x:v>52400</x:v>
      </x:c>
      <x:c r="AB17" s="2" t="n">
        <x:f>SUM(AB15:AB16)</x:f>
        <x:v>54800</x:v>
      </x:c>
      <x:c r="AC17" s="2" t="n">
        <x:f>SUM(AC15:AC16)</x:f>
        <x:v>57200</x:v>
      </x:c>
      <x:c r="AD17" s="2" t="n">
        <x:f>SUM(AD15:AD16)</x:f>
        <x:v>59600</x:v>
      </x:c>
      <x:c r="AE17" s="2" t="n">
        <x:f>SUM(AE15:AE16)</x:f>
        <x:v>62000</x:v>
      </x:c>
      <x:c r="AF17" s="2" t="n">
        <x:f>SUM(AF15:AF16)</x:f>
        <x:v>62000</x:v>
      </x:c>
      <x:c r="AG17" s="2" t="n">
        <x:f>SUM(AG15:AG16)</x:f>
        <x:v>62000</x:v>
      </x:c>
      <x:c r="AH17" s="2" t="n">
        <x:f>SUM(AH15:AH16)</x:f>
        <x:v>62000</x:v>
      </x:c>
      <x:c r="AI17" s="2" t="n">
        <x:f>SUM(AI15:AI16)</x:f>
        <x:v>62000</x:v>
      </x:c>
      <x:c r="AJ17" s="2" t="n">
        <x:f>SUM(AJ15:AJ16)</x:f>
        <x:v>62000</x:v>
      </x:c>
      <x:c r="AK17" s="2" t="n">
        <x:f>SUM(AK15:AK16)</x:f>
        <x:v>62000</x:v>
      </x:c>
      <x:c r="AL17" s="2" t="n">
        <x:f>SUM(AL15:AL16)</x:f>
        <x:v>62000</x:v>
      </x:c>
      <x:c r="AM17" s="2" t="n">
        <x:f>SUM(AM15:AM16)</x:f>
        <x:v>62000</x:v>
      </x:c>
      <x:c r="AN17" s="3"/>
    </x:row>
    <x:row r="18" ht="24" customHeight="1">
      <x:c r="A18" s="1"/>
      <x:c r="B18" s="1"/>
      <x:c r="C18" s="22" t="str">
        <x:v>毛利</x:v>
      </x:c>
      <x:c r="D18" s="24" t="n">
        <x:f>D14-D17</x:f>
        <x:v>0</x:v>
      </x:c>
      <x:c r="E18" s="24" t="n">
        <x:f>E14-E17</x:f>
        <x:v>0</x:v>
      </x:c>
      <x:c r="F18" s="24" t="n">
        <x:f>F14-F17</x:f>
        <x:v>0</x:v>
      </x:c>
      <x:c r="G18" s="24" t="n">
        <x:f>G14-G17</x:f>
        <x:v>0</x:v>
      </x:c>
      <x:c r="H18" s="24" t="n">
        <x:f>H14-H17</x:f>
        <x:v>5200</x:v>
      </x:c>
      <x:c r="I18" s="24" t="n">
        <x:f>I14-I17</x:f>
        <x:v>8800</x:v>
      </x:c>
      <x:c r="J18" s="24" t="n">
        <x:f>J14-J17</x:f>
        <x:v>12400</x:v>
      </x:c>
      <x:c r="K18" s="24" t="n">
        <x:f>K14-K17</x:f>
        <x:v>16000</x:v>
      </x:c>
      <x:c r="L18" s="24" t="n">
        <x:f>L14-L17</x:f>
        <x:v>19600</x:v>
      </x:c>
      <x:c r="M18" s="24" t="n">
        <x:f>M14-M17</x:f>
        <x:v>23200</x:v>
      </x:c>
      <x:c r="N18" s="24" t="n">
        <x:f>N14-N17</x:f>
        <x:v>26800</x:v>
      </x:c>
      <x:c r="O18" s="24" t="n">
        <x:f>O14-O17</x:f>
        <x:v>30400</x:v>
      </x:c>
      <x:c r="P18" s="24" t="n">
        <x:f>P14-P17</x:f>
        <x:v>34000</x:v>
      </x:c>
      <x:c r="Q18" s="24" t="n">
        <x:f>Q14-Q17</x:f>
        <x:v>37600</x:v>
      </x:c>
      <x:c r="R18" s="24" t="n">
        <x:f>R14-R17</x:f>
        <x:v>41200</x:v>
      </x:c>
      <x:c r="S18" s="24" t="n">
        <x:f>S14-S17</x:f>
        <x:v>44800</x:v>
      </x:c>
      <x:c r="T18" s="24" t="n">
        <x:f>T14-T17</x:f>
        <x:v>48400</x:v>
      </x:c>
      <x:c r="U18" s="24" t="n">
        <x:f>U14-U17</x:f>
        <x:v>52000</x:v>
      </x:c>
      <x:c r="V18" s="24" t="n">
        <x:f>V14-V17</x:f>
        <x:v>55600</x:v>
      </x:c>
      <x:c r="W18" s="24" t="n">
        <x:f>W14-W17</x:f>
        <x:v>59200</x:v>
      </x:c>
      <x:c r="X18" s="24" t="n">
        <x:f>X14-X17</x:f>
        <x:v>62800</x:v>
      </x:c>
      <x:c r="Y18" s="24" t="n">
        <x:f>Y14-Y17</x:f>
        <x:v>66400</x:v>
      </x:c>
      <x:c r="Z18" s="24" t="n">
        <x:f>Z14-Z17</x:f>
        <x:v>70000</x:v>
      </x:c>
      <x:c r="AA18" s="24" t="n">
        <x:f>AA14-AA17</x:f>
        <x:v>73600</x:v>
      </x:c>
      <x:c r="AB18" s="24" t="n">
        <x:f>AB14-AB17</x:f>
        <x:v>77200</x:v>
      </x:c>
      <x:c r="AC18" s="24" t="n">
        <x:f>AC14-AC17</x:f>
        <x:v>80800</x:v>
      </x:c>
      <x:c r="AD18" s="24" t="n">
        <x:f>AD14-AD17</x:f>
        <x:v>84400</x:v>
      </x:c>
      <x:c r="AE18" s="24" t="n">
        <x:f>AE14-AE17</x:f>
        <x:v>88000</x:v>
      </x:c>
      <x:c r="AF18" s="24" t="n">
        <x:f>AF14-AF17</x:f>
        <x:v>88000</x:v>
      </x:c>
      <x:c r="AG18" s="24" t="n">
        <x:f>AG14-AG17</x:f>
        <x:v>88000</x:v>
      </x:c>
      <x:c r="AH18" s="24" t="n">
        <x:f>AH14-AH17</x:f>
        <x:v>88000</x:v>
      </x:c>
      <x:c r="AI18" s="24" t="n">
        <x:f>AI14-AI17</x:f>
        <x:v>88000</x:v>
      </x:c>
      <x:c r="AJ18" s="24" t="n">
        <x:f>AJ14-AJ17</x:f>
        <x:v>88000</x:v>
      </x:c>
      <x:c r="AK18" s="24" t="n">
        <x:f>AK14-AK17</x:f>
        <x:v>88000</x:v>
      </x:c>
      <x:c r="AL18" s="24" t="n">
        <x:f>AL14-AL17</x:f>
        <x:v>88000</x:v>
      </x:c>
      <x:c r="AM18" s="24" t="n">
        <x:f>AM14-AM17</x:f>
        <x:v>88000</x:v>
      </x:c>
      <x:c r="AN18" s="3"/>
    </x:row>
    <x:row r="19" ht="24" customHeight="1">
      <x:c r="A19" s="1"/>
      <x:c r="B19" s="1"/>
      <x:c r="C19" s="1" t="str">
        <x:v>毛利率</x:v>
      </x:c>
      <x:c r="D19" s="17" t="str">
        <x:f>IF(D14=0,"不适用",D18/D14)</x:f>
        <x:v>不适用</x:v>
      </x:c>
      <x:c r="E19" s="17" t="str">
        <x:f>IF(E14=0,"不适用",E18/E14)</x:f>
        <x:v>不适用</x:v>
      </x:c>
      <x:c r="F19" s="17" t="str">
        <x:f>IF(F14=0,"不适用",F18/F14)</x:f>
        <x:v>不适用</x:v>
      </x:c>
      <x:c r="G19" s="17" t="str">
        <x:f>IF(G14=0,"不适用",G18/G14)</x:f>
        <x:v>不适用</x:v>
      </x:c>
      <x:c r="H19" s="17" t="n">
        <x:f>IF(H14=0,"不适用",H18/H14)</x:f>
        <x:v>0.43333333333333335</x:v>
      </x:c>
      <x:c r="I19" s="17" t="n">
        <x:f>IF(I14=0,"不适用",I18/I14)</x:f>
        <x:v>0.4888888888888889</x:v>
      </x:c>
      <x:c r="J19" s="17" t="n">
        <x:f>IF(J14=0,"不适用",J18/J14)</x:f>
        <x:v>0.5166666666666667</x:v>
      </x:c>
      <x:c r="K19" s="17" t="n">
        <x:f>IF(K14=0,"不适用",K18/K14)</x:f>
        <x:v>0.5333333333333333</x:v>
      </x:c>
      <x:c r="L19" s="17" t="n">
        <x:f>IF(L14=0,"不适用",L18/L14)</x:f>
        <x:v>0.5444444444444444</x:v>
      </x:c>
      <x:c r="M19" s="17" t="n">
        <x:f>IF(M14=0,"不适用",M18/M14)</x:f>
        <x:v>0.5523809523809524</x:v>
      </x:c>
      <x:c r="N19" s="17" t="n">
        <x:f>IF(N14=0,"不适用",N18/N14)</x:f>
        <x:v>0.5583333333333333</x:v>
      </x:c>
      <x:c r="O19" s="17" t="n">
        <x:f>IF(O14=0,"不适用",O18/O14)</x:f>
        <x:v>0.562962962962963</x:v>
      </x:c>
      <x:c r="P19" s="17" t="n">
        <x:f>IF(P14=0,"不适用",P18/P14)</x:f>
        <x:v>0.5666666666666667</x:v>
      </x:c>
      <x:c r="Q19" s="17" t="n">
        <x:f>IF(Q14=0,"不适用",Q18/Q14)</x:f>
        <x:v>0.5696969696969697</x:v>
      </x:c>
      <x:c r="R19" s="17" t="n">
        <x:f>IF(R14=0,"不适用",R18/R14)</x:f>
        <x:v>0.5722222222222222</x:v>
      </x:c>
      <x:c r="S19" s="17" t="n">
        <x:f>IF(S14=0,"不适用",S18/S14)</x:f>
        <x:v>0.5743589743589743</x:v>
      </x:c>
      <x:c r="T19" s="17" t="n">
        <x:f>IF(T14=0,"不适用",T18/T14)</x:f>
        <x:v>0.5761904761904761</x:v>
      </x:c>
      <x:c r="U19" s="17" t="n">
        <x:f>IF(U14=0,"不适用",U18/U14)</x:f>
        <x:v>0.5777777777777777</x:v>
      </x:c>
      <x:c r="V19" s="17" t="n">
        <x:f>IF(V14=0,"不适用",V18/V14)</x:f>
        <x:v>0.5791666666666667</x:v>
      </x:c>
      <x:c r="W19" s="17" t="n">
        <x:f>IF(W14=0,"不适用",W18/W14)</x:f>
        <x:v>0.5803921568627451</x:v>
      </x:c>
      <x:c r="X19" s="17" t="n">
        <x:f>IF(X14=0,"不适用",X18/X14)</x:f>
        <x:v>0.5814814814814815</x:v>
      </x:c>
      <x:c r="Y19" s="17" t="n">
        <x:f>IF(Y14=0,"不适用",Y18/Y14)</x:f>
        <x:v>0.5824561403508772</x:v>
      </x:c>
      <x:c r="Z19" s="17" t="n">
        <x:f>IF(Z14=0,"不适用",Z18/Z14)</x:f>
        <x:v>0.5833333333333334</x:v>
      </x:c>
      <x:c r="AA19" s="17" t="n">
        <x:f>IF(AA14=0,"不适用",AA18/AA14)</x:f>
        <x:v>0.5841269841269842</x:v>
      </x:c>
      <x:c r="AB19" s="17" t="n">
        <x:f>IF(AB14=0,"不适用",AB18/AB14)</x:f>
        <x:v>0.5848484848484848</x:v>
      </x:c>
      <x:c r="AC19" s="17" t="n">
        <x:f>IF(AC14=0,"不适用",AC18/AC14)</x:f>
        <x:v>0.5855072463768116</x:v>
      </x:c>
      <x:c r="AD19" s="17" t="n">
        <x:f>IF(AD14=0,"不适用",AD18/AD14)</x:f>
        <x:v>0.5861111111111111</x:v>
      </x:c>
      <x:c r="AE19" s="17" t="n">
        <x:f>IF(AE14=0,"不适用",AE18/AE14)</x:f>
        <x:v>0.5866666666666667</x:v>
      </x:c>
      <x:c r="AF19" s="17" t="n">
        <x:f>IF(AF14=0,"不适用",AF18/AF14)</x:f>
        <x:v>0.5866666666666667</x:v>
      </x:c>
      <x:c r="AG19" s="17" t="n">
        <x:f>IF(AG14=0,"不适用",AG18/AG14)</x:f>
        <x:v>0.5866666666666667</x:v>
      </x:c>
      <x:c r="AH19" s="17" t="n">
        <x:f>IF(AH14=0,"不适用",AH18/AH14)</x:f>
        <x:v>0.5866666666666667</x:v>
      </x:c>
      <x:c r="AI19" s="17" t="n">
        <x:f>IF(AI14=0,"不适用",AI18/AI14)</x:f>
        <x:v>0.5866666666666667</x:v>
      </x:c>
      <x:c r="AJ19" s="17" t="n">
        <x:f>IF(AJ14=0,"不适用",AJ18/AJ14)</x:f>
        <x:v>0.5866666666666667</x:v>
      </x:c>
      <x:c r="AK19" s="17" t="n">
        <x:f>IF(AK14=0,"不适用",AK18/AK14)</x:f>
        <x:v>0.5866666666666667</x:v>
      </x:c>
      <x:c r="AL19" s="17" t="n">
        <x:f>IF(AL14=0,"不适用",AL18/AL14)</x:f>
        <x:v>0.5866666666666667</x:v>
      </x:c>
      <x:c r="AM19" s="17" t="n">
        <x:f>IF(AM14=0,"不适用",AM18/AM14)</x:f>
        <x:v>0.5866666666666667</x:v>
      </x:c>
      <x:c r="AN19" s="3"/>
    </x:row>
    <x:row r="20" ht="24" customHeight="1">
      <x:c r="A20" s="1"/>
      <x:c r="B20" s="1"/>
      <x:c r="C20" s="1" t="str">
        <x:v>活动获取佣金</x:v>
      </x:c>
      <x:c r="D20" s="15" t="n">
        <x:f>D6*'假设'!$D$13</x:f>
        <x:v>0</x:v>
      </x:c>
      <x:c r="E20" s="15" t="n">
        <x:f>E6*'假设'!$D$13</x:f>
        <x:v>0</x:v>
      </x:c>
      <x:c r="F20" s="15" t="n">
        <x:f>F6*'假设'!$D$13</x:f>
        <x:v>0</x:v>
      </x:c>
      <x:c r="G20" s="15" t="n">
        <x:f>G6*'假设'!$D$13</x:f>
        <x:v>0</x:v>
      </x:c>
      <x:c r="H20" s="15" t="n">
        <x:f>H6*'假设'!$D$13</x:f>
        <x:v>1200</x:v>
      </x:c>
      <x:c r="I20" s="15" t="n">
        <x:f>I6*'假设'!$D$13</x:f>
        <x:v>1800</x:v>
      </x:c>
      <x:c r="J20" s="15" t="n">
        <x:f>J6*'假设'!$D$13</x:f>
        <x:v>2400</x:v>
      </x:c>
      <x:c r="K20" s="15" t="n">
        <x:f>K6*'假设'!$D$13</x:f>
        <x:v>3000</x:v>
      </x:c>
      <x:c r="L20" s="15" t="n">
        <x:f>L6*'假设'!$D$13</x:f>
        <x:v>3600</x:v>
      </x:c>
      <x:c r="M20" s="15" t="n">
        <x:f>M6*'假设'!$D$13</x:f>
        <x:v>4200</x:v>
      </x:c>
      <x:c r="N20" s="15" t="n">
        <x:f>N6*'假设'!$D$13</x:f>
        <x:v>4800</x:v>
      </x:c>
      <x:c r="O20" s="15" t="n">
        <x:f>O6*'假设'!$D$13</x:f>
        <x:v>5400</x:v>
      </x:c>
      <x:c r="P20" s="15" t="n">
        <x:f>P6*'假设'!$D$13</x:f>
        <x:v>6000</x:v>
      </x:c>
      <x:c r="Q20" s="15" t="n">
        <x:f>Q6*'假设'!$D$13</x:f>
        <x:v>6600</x:v>
      </x:c>
      <x:c r="R20" s="15" t="n">
        <x:f>R6*'假设'!$D$13</x:f>
        <x:v>7200</x:v>
      </x:c>
      <x:c r="S20" s="15" t="n">
        <x:f>S6*'假设'!$D$13</x:f>
        <x:v>7800</x:v>
      </x:c>
      <x:c r="T20" s="15" t="n">
        <x:f>T6*'假设'!$D$13</x:f>
        <x:v>8400</x:v>
      </x:c>
      <x:c r="U20" s="15" t="n">
        <x:f>U6*'假设'!$D$13</x:f>
        <x:v>9000</x:v>
      </x:c>
      <x:c r="V20" s="15" t="n">
        <x:f>V6*'假设'!$D$13</x:f>
        <x:v>9600</x:v>
      </x:c>
      <x:c r="W20" s="15" t="n">
        <x:f>W6*'假设'!$D$13</x:f>
        <x:v>10200</x:v>
      </x:c>
      <x:c r="X20" s="15" t="n">
        <x:f>X6*'假设'!$D$13</x:f>
        <x:v>10800</x:v>
      </x:c>
      <x:c r="Y20" s="15" t="n">
        <x:f>Y6*'假设'!$D$13</x:f>
        <x:v>11400</x:v>
      </x:c>
      <x:c r="Z20" s="15" t="n">
        <x:f>Z6*'假设'!$D$13</x:f>
        <x:v>12000</x:v>
      </x:c>
      <x:c r="AA20" s="15" t="n">
        <x:f>AA6*'假设'!$D$13</x:f>
        <x:v>12600</x:v>
      </x:c>
      <x:c r="AB20" s="15" t="n">
        <x:f>AB6*'假设'!$D$13</x:f>
        <x:v>13200</x:v>
      </x:c>
      <x:c r="AC20" s="15" t="n">
        <x:f>AC6*'假设'!$D$13</x:f>
        <x:v>13800</x:v>
      </x:c>
      <x:c r="AD20" s="15" t="n">
        <x:f>AD6*'假设'!$D$13</x:f>
        <x:v>14400</x:v>
      </x:c>
      <x:c r="AE20" s="15" t="n">
        <x:f>AE6*'假设'!$D$13</x:f>
        <x:v>15000</x:v>
      </x:c>
      <x:c r="AF20" s="15" t="n">
        <x:f>AF6*'假设'!$D$13</x:f>
        <x:v>15000</x:v>
      </x:c>
      <x:c r="AG20" s="15" t="n">
        <x:f>AG6*'假设'!$D$13</x:f>
        <x:v>15000</x:v>
      </x:c>
      <x:c r="AH20" s="15" t="n">
        <x:f>AH6*'假设'!$D$13</x:f>
        <x:v>15000</x:v>
      </x:c>
      <x:c r="AI20" s="15" t="n">
        <x:f>AI6*'假设'!$D$13</x:f>
        <x:v>15000</x:v>
      </x:c>
      <x:c r="AJ20" s="15" t="n">
        <x:f>AJ6*'假设'!$D$13</x:f>
        <x:v>15000</x:v>
      </x:c>
      <x:c r="AK20" s="15" t="n">
        <x:f>AK6*'假设'!$D$13</x:f>
        <x:v>15000</x:v>
      </x:c>
      <x:c r="AL20" s="15" t="n">
        <x:f>AL6*'假设'!$D$13</x:f>
        <x:v>15000</x:v>
      </x:c>
      <x:c r="AM20" s="15" t="n">
        <x:f>AM6*'假设'!$D$13</x:f>
        <x:v>15000</x:v>
      </x:c>
      <x:c r="AN20" s="3"/>
    </x:row>
    <x:row r="21" ht="24" customHeight="1">
      <x:c r="A21" s="1"/>
      <x:c r="B21" s="1"/>
      <x:c r="C21" s="22" t="str">
        <x:v>贡献（CAC前）</x:v>
      </x:c>
      <x:c r="D21" s="24" t="n">
        <x:f>D14-D15-D20</x:f>
        <x:v>0</x:v>
      </x:c>
      <x:c r="E21" s="24" t="n">
        <x:f>E14-E15-E20</x:f>
        <x:v>0</x:v>
      </x:c>
      <x:c r="F21" s="24" t="n">
        <x:f>F14-F15-F20</x:f>
        <x:v>0</x:v>
      </x:c>
      <x:c r="G21" s="24" t="n">
        <x:f>G14-G15-G20</x:f>
        <x:v>0</x:v>
      </x:c>
      <x:c r="H21" s="24" t="n">
        <x:f>H14-H15-H20</x:f>
        <x:v>6000</x:v>
      </x:c>
      <x:c r="I21" s="24" t="n">
        <x:f>I14-I15-I20</x:f>
        <x:v>9000</x:v>
      </x:c>
      <x:c r="J21" s="24" t="n">
        <x:f>J14-J15-J20</x:f>
        <x:v>12000</x:v>
      </x:c>
      <x:c r="K21" s="24" t="n">
        <x:f>K14-K15-K20</x:f>
        <x:v>15000</x:v>
      </x:c>
      <x:c r="L21" s="24" t="n">
        <x:f>L14-L15-L20</x:f>
        <x:v>18000</x:v>
      </x:c>
      <x:c r="M21" s="24" t="n">
        <x:f>M14-M15-M20</x:f>
        <x:v>21000</x:v>
      </x:c>
      <x:c r="N21" s="24" t="n">
        <x:f>N14-N15-N20</x:f>
        <x:v>24000</x:v>
      </x:c>
      <x:c r="O21" s="24" t="n">
        <x:f>O14-O15-O20</x:f>
        <x:v>27000</x:v>
      </x:c>
      <x:c r="P21" s="24" t="n">
        <x:f>P14-P15-P20</x:f>
        <x:v>30000</x:v>
      </x:c>
      <x:c r="Q21" s="24" t="n">
        <x:f>Q14-Q15-Q20</x:f>
        <x:v>33000</x:v>
      </x:c>
      <x:c r="R21" s="24" t="n">
        <x:f>R14-R15-R20</x:f>
        <x:v>36000</x:v>
      </x:c>
      <x:c r="S21" s="24" t="n">
        <x:f>S14-S15-S20</x:f>
        <x:v>39000</x:v>
      </x:c>
      <x:c r="T21" s="24" t="n">
        <x:f>T14-T15-T20</x:f>
        <x:v>42000</x:v>
      </x:c>
      <x:c r="U21" s="24" t="n">
        <x:f>U14-U15-U20</x:f>
        <x:v>45000</x:v>
      </x:c>
      <x:c r="V21" s="24" t="n">
        <x:f>V14-V15-V20</x:f>
        <x:v>48000</x:v>
      </x:c>
      <x:c r="W21" s="24" t="n">
        <x:f>W14-W15-W20</x:f>
        <x:v>51000</x:v>
      </x:c>
      <x:c r="X21" s="24" t="n">
        <x:f>X14-X15-X20</x:f>
        <x:v>54000</x:v>
      </x:c>
      <x:c r="Y21" s="24" t="n">
        <x:f>Y14-Y15-Y20</x:f>
        <x:v>57000</x:v>
      </x:c>
      <x:c r="Z21" s="24" t="n">
        <x:f>Z14-Z15-Z20</x:f>
        <x:v>60000</x:v>
      </x:c>
      <x:c r="AA21" s="24" t="n">
        <x:f>AA14-AA15-AA20</x:f>
        <x:v>63000</x:v>
      </x:c>
      <x:c r="AB21" s="24" t="n">
        <x:f>AB14-AB15-AB20</x:f>
        <x:v>66000</x:v>
      </x:c>
      <x:c r="AC21" s="24" t="n">
        <x:f>AC14-AC15-AC20</x:f>
        <x:v>69000</x:v>
      </x:c>
      <x:c r="AD21" s="24" t="n">
        <x:f>AD14-AD15-AD20</x:f>
        <x:v>72000</x:v>
      </x:c>
      <x:c r="AE21" s="24" t="n">
        <x:f>AE14-AE15-AE20</x:f>
        <x:v>75000</x:v>
      </x:c>
      <x:c r="AF21" s="24" t="n">
        <x:f>AF14-AF15-AF20</x:f>
        <x:v>75000</x:v>
      </x:c>
      <x:c r="AG21" s="24" t="n">
        <x:f>AG14-AG15-AG20</x:f>
        <x:v>75000</x:v>
      </x:c>
      <x:c r="AH21" s="24" t="n">
        <x:f>AH14-AH15-AH20</x:f>
        <x:v>75000</x:v>
      </x:c>
      <x:c r="AI21" s="24" t="n">
        <x:f>AI14-AI15-AI20</x:f>
        <x:v>75000</x:v>
      </x:c>
      <x:c r="AJ21" s="24" t="n">
        <x:f>AJ14-AJ15-AJ20</x:f>
        <x:v>75000</x:v>
      </x:c>
      <x:c r="AK21" s="24" t="n">
        <x:f>AK14-AK15-AK20</x:f>
        <x:v>75000</x:v>
      </x:c>
      <x:c r="AL21" s="24" t="n">
        <x:f>AL14-AL15-AL20</x:f>
        <x:v>75000</x:v>
      </x:c>
      <x:c r="AM21" s="24" t="n">
        <x:f>AM14-AM15-AM20</x:f>
        <x:v>75000</x:v>
      </x:c>
      <x:c r="AN21" s="3"/>
    </x:row>
    <x:row r="22" ht="24" customHeight="1">
      <x:c r="A22" s="1"/>
      <x:c r="B22" s="1"/>
      <x:c r="C22" s="1" t="str">
        <x:v>固定非履约支出</x:v>
      </x:c>
      <x:c r="D22" s="15" t="n">
        <x:f>IF(D$5&gt;'假设'!$D$25,'假设'!$D$15,0)</x:f>
        <x:v>0</x:v>
      </x:c>
      <x:c r="E22" s="15" t="n">
        <x:f>IF(E$5&gt;'假设'!$D$25,'假设'!$D$15,0)</x:f>
        <x:v>0</x:v>
      </x:c>
      <x:c r="F22" s="15" t="n">
        <x:f>IF(F$5&gt;'假设'!$D$25,'假设'!$D$15,0)</x:f>
        <x:v>0</x:v>
      </x:c>
      <x:c r="G22" s="15" t="n">
        <x:f>IF(G$5&gt;'假设'!$D$25,'假设'!$D$15,0)</x:f>
        <x:v>0</x:v>
      </x:c>
      <x:c r="H22" s="15" t="n">
        <x:f>IF(H$5&gt;'假设'!$D$25,'假设'!$D$15,0)</x:f>
        <x:v>15000</x:v>
      </x:c>
      <x:c r="I22" s="15" t="n">
        <x:f>IF(I$5&gt;'假设'!$D$25,'假设'!$D$15,0)</x:f>
        <x:v>15000</x:v>
      </x:c>
      <x:c r="J22" s="15" t="n">
        <x:f>IF(J$5&gt;'假设'!$D$25,'假设'!$D$15,0)</x:f>
        <x:v>15000</x:v>
      </x:c>
      <x:c r="K22" s="15" t="n">
        <x:f>IF(K$5&gt;'假设'!$D$25,'假设'!$D$15,0)</x:f>
        <x:v>15000</x:v>
      </x:c>
      <x:c r="L22" s="15" t="n">
        <x:f>IF(L$5&gt;'假设'!$D$25,'假设'!$D$15,0)</x:f>
        <x:v>15000</x:v>
      </x:c>
      <x:c r="M22" s="15" t="n">
        <x:f>IF(M$5&gt;'假设'!$D$25,'假设'!$D$15,0)</x:f>
        <x:v>15000</x:v>
      </x:c>
      <x:c r="N22" s="15" t="n">
        <x:f>IF(N$5&gt;'假设'!$D$25,'假设'!$D$15,0)</x:f>
        <x:v>15000</x:v>
      </x:c>
      <x:c r="O22" s="15" t="n">
        <x:f>IF(O$5&gt;'假设'!$D$25,'假设'!$D$15,0)</x:f>
        <x:v>15000</x:v>
      </x:c>
      <x:c r="P22" s="15" t="n">
        <x:f>IF(P$5&gt;'假设'!$D$25,'假设'!$D$15,0)</x:f>
        <x:v>15000</x:v>
      </x:c>
      <x:c r="Q22" s="15" t="n">
        <x:f>IF(Q$5&gt;'假设'!$D$25,'假设'!$D$15,0)</x:f>
        <x:v>15000</x:v>
      </x:c>
      <x:c r="R22" s="15" t="n">
        <x:f>IF(R$5&gt;'假设'!$D$25,'假设'!$D$15,0)</x:f>
        <x:v>15000</x:v>
      </x:c>
      <x:c r="S22" s="15" t="n">
        <x:f>IF(S$5&gt;'假设'!$D$25,'假设'!$D$15,0)</x:f>
        <x:v>15000</x:v>
      </x:c>
      <x:c r="T22" s="15" t="n">
        <x:f>IF(T$5&gt;'假设'!$D$25,'假设'!$D$15,0)</x:f>
        <x:v>15000</x:v>
      </x:c>
      <x:c r="U22" s="15" t="n">
        <x:f>IF(U$5&gt;'假设'!$D$25,'假设'!$D$15,0)</x:f>
        <x:v>15000</x:v>
      </x:c>
      <x:c r="V22" s="15" t="n">
        <x:f>IF(V$5&gt;'假设'!$D$25,'假设'!$D$15,0)</x:f>
        <x:v>15000</x:v>
      </x:c>
      <x:c r="W22" s="15" t="n">
        <x:f>IF(W$5&gt;'假设'!$D$25,'假设'!$D$15,0)</x:f>
        <x:v>15000</x:v>
      </x:c>
      <x:c r="X22" s="15" t="n">
        <x:f>IF(X$5&gt;'假设'!$D$25,'假设'!$D$15,0)</x:f>
        <x:v>15000</x:v>
      </x:c>
      <x:c r="Y22" s="15" t="n">
        <x:f>IF(Y$5&gt;'假设'!$D$25,'假设'!$D$15,0)</x:f>
        <x:v>15000</x:v>
      </x:c>
      <x:c r="Z22" s="15" t="n">
        <x:f>IF(Z$5&gt;'假设'!$D$25,'假设'!$D$15,0)</x:f>
        <x:v>15000</x:v>
      </x:c>
      <x:c r="AA22" s="15" t="n">
        <x:f>IF(AA$5&gt;'假设'!$D$25,'假设'!$D$15,0)</x:f>
        <x:v>15000</x:v>
      </x:c>
      <x:c r="AB22" s="15" t="n">
        <x:f>IF(AB$5&gt;'假设'!$D$25,'假设'!$D$15,0)</x:f>
        <x:v>15000</x:v>
      </x:c>
      <x:c r="AC22" s="15" t="n">
        <x:f>IF(AC$5&gt;'假设'!$D$25,'假设'!$D$15,0)</x:f>
        <x:v>15000</x:v>
      </x:c>
      <x:c r="AD22" s="15" t="n">
        <x:f>IF(AD$5&gt;'假设'!$D$25,'假设'!$D$15,0)</x:f>
        <x:v>15000</x:v>
      </x:c>
      <x:c r="AE22" s="15" t="n">
        <x:f>IF(AE$5&gt;'假设'!$D$25,'假设'!$D$15,0)</x:f>
        <x:v>15000</x:v>
      </x:c>
      <x:c r="AF22" s="15" t="n">
        <x:f>IF(AF$5&gt;'假设'!$D$25,'假设'!$D$15,0)</x:f>
        <x:v>15000</x:v>
      </x:c>
      <x:c r="AG22" s="15" t="n">
        <x:f>IF(AG$5&gt;'假设'!$D$25,'假设'!$D$15,0)</x:f>
        <x:v>15000</x:v>
      </x:c>
      <x:c r="AH22" s="15" t="n">
        <x:f>IF(AH$5&gt;'假设'!$D$25,'假设'!$D$15,0)</x:f>
        <x:v>15000</x:v>
      </x:c>
      <x:c r="AI22" s="15" t="n">
        <x:f>IF(AI$5&gt;'假设'!$D$25,'假设'!$D$15,0)</x:f>
        <x:v>15000</x:v>
      </x:c>
      <x:c r="AJ22" s="15" t="n">
        <x:f>IF(AJ$5&gt;'假设'!$D$25,'假设'!$D$15,0)</x:f>
        <x:v>15000</x:v>
      </x:c>
      <x:c r="AK22" s="15" t="n">
        <x:f>IF(AK$5&gt;'假设'!$D$25,'假设'!$D$15,0)</x:f>
        <x:v>15000</x:v>
      </x:c>
      <x:c r="AL22" s="15" t="n">
        <x:f>IF(AL$5&gt;'假设'!$D$25,'假设'!$D$15,0)</x:f>
        <x:v>15000</x:v>
      </x:c>
      <x:c r="AM22" s="15" t="n">
        <x:f>IF(AM$5&gt;'假设'!$D$25,'假设'!$D$15,0)</x:f>
        <x:v>15000</x:v>
      </x:c>
      <x:c r="AN22" s="3"/>
    </x:row>
    <x:row r="23" ht="24" customHeight="1">
      <x:c r="A23" s="1"/>
      <x:c r="B23" s="1"/>
      <x:c r="C23" s="1" t="str">
        <x:v>建设期运营支出</x:v>
      </x:c>
      <x:c r="D23" s="15" t="n">
        <x:f>IF(D$5&lt;='假设'!$D$25,'假设'!$D$18,0)</x:f>
        <x:v>12000</x:v>
      </x:c>
      <x:c r="E23" s="15" t="n">
        <x:f>IF(E$5&lt;='假设'!$D$25,'假设'!$D$18,0)</x:f>
        <x:v>12000</x:v>
      </x:c>
      <x:c r="F23" s="15" t="n">
        <x:f>IF(F$5&lt;='假设'!$D$25,'假设'!$D$18,0)</x:f>
        <x:v>12000</x:v>
      </x:c>
      <x:c r="G23" s="15" t="n">
        <x:f>IF(G$5&lt;='假设'!$D$25,'假设'!$D$18,0)</x:f>
        <x:v>12000</x:v>
      </x:c>
      <x:c r="H23" s="15" t="n">
        <x:f>IF(H$5&lt;='假设'!$D$25,'假设'!$D$18,0)</x:f>
        <x:v>0</x:v>
      </x:c>
      <x:c r="I23" s="15" t="n">
        <x:f>IF(I$5&lt;='假设'!$D$25,'假设'!$D$18,0)</x:f>
        <x:v>0</x:v>
      </x:c>
      <x:c r="J23" s="15" t="n">
        <x:f>IF(J$5&lt;='假设'!$D$25,'假设'!$D$18,0)</x:f>
        <x:v>0</x:v>
      </x:c>
      <x:c r="K23" s="15" t="n">
        <x:f>IF(K$5&lt;='假设'!$D$25,'假设'!$D$18,0)</x:f>
        <x:v>0</x:v>
      </x:c>
      <x:c r="L23" s="15" t="n">
        <x:f>IF(L$5&lt;='假设'!$D$25,'假设'!$D$18,0)</x:f>
        <x:v>0</x:v>
      </x:c>
      <x:c r="M23" s="15" t="n">
        <x:f>IF(M$5&lt;='假设'!$D$25,'假设'!$D$18,0)</x:f>
        <x:v>0</x:v>
      </x:c>
      <x:c r="N23" s="15" t="n">
        <x:f>IF(N$5&lt;='假设'!$D$25,'假设'!$D$18,0)</x:f>
        <x:v>0</x:v>
      </x:c>
      <x:c r="O23" s="15" t="n">
        <x:f>IF(O$5&lt;='假设'!$D$25,'假设'!$D$18,0)</x:f>
        <x:v>0</x:v>
      </x:c>
      <x:c r="P23" s="15" t="n">
        <x:f>IF(P$5&lt;='假设'!$D$25,'假设'!$D$18,0)</x:f>
        <x:v>0</x:v>
      </x:c>
      <x:c r="Q23" s="15" t="n">
        <x:f>IF(Q$5&lt;='假设'!$D$25,'假设'!$D$18,0)</x:f>
        <x:v>0</x:v>
      </x:c>
      <x:c r="R23" s="15" t="n">
        <x:f>IF(R$5&lt;='假设'!$D$25,'假设'!$D$18,0)</x:f>
        <x:v>0</x:v>
      </x:c>
      <x:c r="S23" s="15" t="n">
        <x:f>IF(S$5&lt;='假设'!$D$25,'假设'!$D$18,0)</x:f>
        <x:v>0</x:v>
      </x:c>
      <x:c r="T23" s="15" t="n">
        <x:f>IF(T$5&lt;='假设'!$D$25,'假设'!$D$18,0)</x:f>
        <x:v>0</x:v>
      </x:c>
      <x:c r="U23" s="15" t="n">
        <x:f>IF(U$5&lt;='假设'!$D$25,'假设'!$D$18,0)</x:f>
        <x:v>0</x:v>
      </x:c>
      <x:c r="V23" s="15" t="n">
        <x:f>IF(V$5&lt;='假设'!$D$25,'假设'!$D$18,0)</x:f>
        <x:v>0</x:v>
      </x:c>
      <x:c r="W23" s="15" t="n">
        <x:f>IF(W$5&lt;='假设'!$D$25,'假设'!$D$18,0)</x:f>
        <x:v>0</x:v>
      </x:c>
      <x:c r="X23" s="15" t="n">
        <x:f>IF(X$5&lt;='假设'!$D$25,'假设'!$D$18,0)</x:f>
        <x:v>0</x:v>
      </x:c>
      <x:c r="Y23" s="15" t="n">
        <x:f>IF(Y$5&lt;='假设'!$D$25,'假设'!$D$18,0)</x:f>
        <x:v>0</x:v>
      </x:c>
      <x:c r="Z23" s="15" t="n">
        <x:f>IF(Z$5&lt;='假设'!$D$25,'假设'!$D$18,0)</x:f>
        <x:v>0</x:v>
      </x:c>
      <x:c r="AA23" s="15" t="n">
        <x:f>IF(AA$5&lt;='假设'!$D$25,'假设'!$D$18,0)</x:f>
        <x:v>0</x:v>
      </x:c>
      <x:c r="AB23" s="15" t="n">
        <x:f>IF(AB$5&lt;='假设'!$D$25,'假设'!$D$18,0)</x:f>
        <x:v>0</x:v>
      </x:c>
      <x:c r="AC23" s="15" t="n">
        <x:f>IF(AC$5&lt;='假设'!$D$25,'假设'!$D$18,0)</x:f>
        <x:v>0</x:v>
      </x:c>
      <x:c r="AD23" s="15" t="n">
        <x:f>IF(AD$5&lt;='假设'!$D$25,'假设'!$D$18,0)</x:f>
        <x:v>0</x:v>
      </x:c>
      <x:c r="AE23" s="15" t="n">
        <x:f>IF(AE$5&lt;='假设'!$D$25,'假设'!$D$18,0)</x:f>
        <x:v>0</x:v>
      </x:c>
      <x:c r="AF23" s="15" t="n">
        <x:f>IF(AF$5&lt;='假设'!$D$25,'假设'!$D$18,0)</x:f>
        <x:v>0</x:v>
      </x:c>
      <x:c r="AG23" s="15" t="n">
        <x:f>IF(AG$5&lt;='假设'!$D$25,'假设'!$D$18,0)</x:f>
        <x:v>0</x:v>
      </x:c>
      <x:c r="AH23" s="15" t="n">
        <x:f>IF(AH$5&lt;='假设'!$D$25,'假设'!$D$18,0)</x:f>
        <x:v>0</x:v>
      </x:c>
      <x:c r="AI23" s="15" t="n">
        <x:f>IF(AI$5&lt;='假设'!$D$25,'假设'!$D$18,0)</x:f>
        <x:v>0</x:v>
      </x:c>
      <x:c r="AJ23" s="15" t="n">
        <x:f>IF(AJ$5&lt;='假设'!$D$25,'假设'!$D$18,0)</x:f>
        <x:v>0</x:v>
      </x:c>
      <x:c r="AK23" s="15" t="n">
        <x:f>IF(AK$5&lt;='假设'!$D$25,'假设'!$D$18,0)</x:f>
        <x:v>0</x:v>
      </x:c>
      <x:c r="AL23" s="15" t="n">
        <x:f>IF(AL$5&lt;='假设'!$D$25,'假设'!$D$18,0)</x:f>
        <x:v>0</x:v>
      </x:c>
      <x:c r="AM23" s="15" t="n">
        <x:f>IF(AM$5&lt;='假设'!$D$25,'假设'!$D$18,0)</x:f>
        <x:v>0</x:v>
      </x:c>
      <x:c r="AN23" s="3"/>
    </x:row>
    <x:row r="24" ht="24" customHeight="1">
      <x:c r="A24" s="1"/>
      <x:c r="B24" s="1"/>
      <x:c r="C24" s="22" t="str">
        <x:v>经营结果（含品牌CAC）</x:v>
      </x:c>
      <x:c r="D24" s="24" t="n">
        <x:f>D18-D20-D22-D23-D10</x:f>
        <x:v>-12000</x:v>
      </x:c>
      <x:c r="E24" s="24" t="n">
        <x:f>E18-E20-E22-E23-E10</x:f>
        <x:v>-12000</x:v>
      </x:c>
      <x:c r="F24" s="24" t="n">
        <x:f>F18-F20-F22-F23-F10</x:f>
        <x:v>-12000</x:v>
      </x:c>
      <x:c r="G24" s="24" t="n">
        <x:f>G18-G20-G22-G23-G10</x:f>
        <x:v>-12000</x:v>
      </x:c>
      <x:c r="H24" s="24" t="n">
        <x:f>H18-H20-H22-H23-H10</x:f>
        <x:v>-11000</x:v>
      </x:c>
      <x:c r="I24" s="24" t="n">
        <x:f>I18-I20-I22-I23-I10</x:f>
        <x:v>-11300</x:v>
      </x:c>
      <x:c r="J24" s="24" t="n">
        <x:f>J18-J20-J22-J23-J10</x:f>
        <x:v>-8450</x:v>
      </x:c>
      <x:c r="K24" s="24" t="n">
        <x:f>K18-K20-K22-K23-K10</x:f>
        <x:v>-5600</x:v>
      </x:c>
      <x:c r="L24" s="24" t="n">
        <x:f>L18-L20-L22-L23-L10</x:f>
        <x:v>-2750</x:v>
      </x:c>
      <x:c r="M24" s="24" t="n">
        <x:f>M18-M20-M22-M23-M10</x:f>
        <x:v>99.99999999999773</x:v>
      </x:c>
      <x:c r="N24" s="24" t="n">
        <x:f>N18-N20-N22-N23-N10</x:f>
        <x:v>2949.999999999998</x:v>
      </x:c>
      <x:c r="O24" s="24" t="n">
        <x:f>O18-O20-O22-O23-O10</x:f>
        <x:v>5799.999999999999</x:v>
      </x:c>
      <x:c r="P24" s="24" t="n">
        <x:f>P18-P20-P22-P23-P10</x:f>
        <x:v>8649.999999999996</x:v>
      </x:c>
      <x:c r="Q24" s="24" t="n">
        <x:f>Q18-Q20-Q22-Q23-Q10</x:f>
        <x:v>11500</x:v>
      </x:c>
      <x:c r="R24" s="24" t="n">
        <x:f>R18-R20-R22-R23-R10</x:f>
        <x:v>14349.999999999998</x:v>
      </x:c>
      <x:c r="S24" s="24" t="n">
        <x:f>S18-S20-S22-S23-S10</x:f>
        <x:v>17199.999999999996</x:v>
      </x:c>
      <x:c r="T24" s="24" t="n">
        <x:f>T18-T20-T22-T23-T10</x:f>
        <x:v>20050</x:v>
      </x:c>
      <x:c r="U24" s="24" t="n">
        <x:f>U18-U20-U22-U23-U10</x:f>
        <x:v>22899.999999999996</x:v>
      </x:c>
      <x:c r="V24" s="24" t="n">
        <x:f>V18-V20-V22-V23-V10</x:f>
        <x:v>25750</x:v>
      </x:c>
      <x:c r="W24" s="24" t="n">
        <x:f>W18-W20-W22-W23-W10</x:f>
        <x:v>28600</x:v>
      </x:c>
      <x:c r="X24" s="24" t="n">
        <x:f>X18-X20-X22-X23-X10</x:f>
        <x:v>31449.999999999996</x:v>
      </x:c>
      <x:c r="Y24" s="24" t="n">
        <x:f>Y18-Y20-Y22-Y23-Y10</x:f>
        <x:v>34299.99999999999</x:v>
      </x:c>
      <x:c r="Z24" s="24" t="n">
        <x:f>Z18-Z20-Z22-Z23-Z10</x:f>
        <x:v>37150</x:v>
      </x:c>
      <x:c r="AA24" s="24" t="n">
        <x:f>AA18-AA20-AA22-AA23-AA10</x:f>
        <x:v>40000</x:v>
      </x:c>
      <x:c r="AB24" s="24" t="n">
        <x:f>AB18-AB20-AB22-AB23-AB10</x:f>
        <x:v>42850</x:v>
      </x:c>
      <x:c r="AC24" s="24" t="n">
        <x:f>AC18-AC20-AC22-AC23-AC10</x:f>
        <x:v>45699.99999999999</x:v>
      </x:c>
      <x:c r="AD24" s="24" t="n">
        <x:f>AD18-AD20-AD22-AD23-AD10</x:f>
        <x:v>48549.99999999999</x:v>
      </x:c>
      <x:c r="AE24" s="24" t="n">
        <x:f>AE18-AE20-AE22-AE23-AE10</x:f>
        <x:v>51399.99999999999</x:v>
      </x:c>
      <x:c r="AF24" s="24" t="n">
        <x:f>AF18-AF20-AF22-AF23-AF10</x:f>
        <x:v>54250</x:v>
      </x:c>
      <x:c r="AG24" s="24" t="n">
        <x:f>AG18-AG20-AG22-AG23-AG10</x:f>
        <x:v>54250</x:v>
      </x:c>
      <x:c r="AH24" s="24" t="n">
        <x:f>AH18-AH20-AH22-AH23-AH10</x:f>
        <x:v>54250</x:v>
      </x:c>
      <x:c r="AI24" s="24" t="n">
        <x:f>AI18-AI20-AI22-AI23-AI10</x:f>
        <x:v>54250</x:v>
      </x:c>
      <x:c r="AJ24" s="24" t="n">
        <x:f>AJ18-AJ20-AJ22-AJ23-AJ10</x:f>
        <x:v>54250</x:v>
      </x:c>
      <x:c r="AK24" s="24" t="n">
        <x:f>AK18-AK20-AK22-AK23-AK10</x:f>
        <x:v>54250</x:v>
      </x:c>
      <x:c r="AL24" s="24" t="n">
        <x:f>AL18-AL20-AL22-AL23-AL10</x:f>
        <x:v>54250</x:v>
      </x:c>
      <x:c r="AM24" s="24" t="n">
        <x:f>AM18-AM20-AM22-AM23-AM10</x:f>
        <x:v>54250</x:v>
      </x:c>
      <x:c r="AN24" s="3"/>
    </x:row>
    <x:row r="25" ht="24" customHeight="1">
      <x:c r="A25" s="1"/>
      <x:c r="B25" s="1"/>
      <x:c r="C25" s="1" t="str">
        <x:v>经营利润率</x:v>
      </x:c>
      <x:c r="D25" s="17" t="str">
        <x:f>IF(D14=0,"不适用",D24/D14)</x:f>
        <x:v>不适用</x:v>
      </x:c>
      <x:c r="E25" s="17" t="str">
        <x:f>IF(E14=0,"不适用",E24/E14)</x:f>
        <x:v>不适用</x:v>
      </x:c>
      <x:c r="F25" s="17" t="str">
        <x:f>IF(F14=0,"不适用",F24/F14)</x:f>
        <x:v>不适用</x:v>
      </x:c>
      <x:c r="G25" s="17" t="str">
        <x:f>IF(G14=0,"不适用",G24/G14)</x:f>
        <x:v>不适用</x:v>
      </x:c>
      <x:c r="H25" s="17" t="n">
        <x:f>IF(H14=0,"不适用",H24/H14)</x:f>
        <x:v>-0.9166666666666666</x:v>
      </x:c>
      <x:c r="I25" s="17" t="n">
        <x:f>IF(I14=0,"不适用",I24/I14)</x:f>
        <x:v>-0.6277777777777778</x:v>
      </x:c>
      <x:c r="J25" s="17" t="n">
        <x:f>IF(J14=0,"不适用",J24/J14)</x:f>
        <x:v>-0.35208333333333336</x:v>
      </x:c>
      <x:c r="K25" s="17" t="n">
        <x:f>IF(K14=0,"不适用",K24/K14)</x:f>
        <x:v>-0.18666666666666668</x:v>
      </x:c>
      <x:c r="L25" s="17" t="n">
        <x:f>IF(L14=0,"不适用",L24/L14)</x:f>
        <x:v>-0.0763888888888889</x:v>
      </x:c>
      <x:c r="M25" s="17" t="n">
        <x:f>IF(M14=0,"不适用",M24/M14)</x:f>
        <x:v>0.002380952380952327</x:v>
      </x:c>
      <x:c r="N25" s="17" t="n">
        <x:f>IF(N14=0,"不适用",N24/N14)</x:f>
        <x:v>0.061458333333333295</x:v>
      </x:c>
      <x:c r="O25" s="17" t="n">
        <x:f>IF(O14=0,"不适用",O24/O14)</x:f>
        <x:v>0.1074074074074074</x:v>
      </x:c>
      <x:c r="P25" s="17" t="n">
        <x:f>IF(P14=0,"不适用",P24/P14)</x:f>
        <x:v>0.1441666666666666</x:v>
      </x:c>
      <x:c r="Q25" s="17" t="n">
        <x:f>IF(Q14=0,"不适用",Q24/Q14)</x:f>
        <x:v>0.17424242424242425</x:v>
      </x:c>
      <x:c r="R25" s="17" t="n">
        <x:f>IF(R14=0,"不适用",R24/R14)</x:f>
        <x:v>0.19930555555555554</x:v>
      </x:c>
      <x:c r="S25" s="17" t="n">
        <x:f>IF(S14=0,"不适用",S24/S14)</x:f>
        <x:v>0.22051282051282048</x:v>
      </x:c>
      <x:c r="T25" s="17" t="n">
        <x:f>IF(T14=0,"不适用",T24/T14)</x:f>
        <x:v>0.2386904761904762</x:v>
      </x:c>
      <x:c r="U25" s="17" t="n">
        <x:f>IF(U14=0,"不适用",U24/U14)</x:f>
        <x:v>0.2544444444444444</x:v>
      </x:c>
      <x:c r="V25" s="17" t="n">
        <x:f>IF(V14=0,"不适用",V24/V14)</x:f>
        <x:v>0.2682291666666667</x:v>
      </x:c>
      <x:c r="W25" s="17" t="n">
        <x:f>IF(W14=0,"不适用",W24/W14)</x:f>
        <x:v>0.2803921568627451</x:v>
      </x:c>
      <x:c r="X25" s="17" t="n">
        <x:f>IF(X14=0,"不适用",X24/X14)</x:f>
        <x:v>0.2912037037037037</x:v>
      </x:c>
      <x:c r="Y25" s="17" t="n">
        <x:f>IF(Y14=0,"不适用",Y24/Y14)</x:f>
        <x:v>0.3008771929824561</x:v>
      </x:c>
      <x:c r="Z25" s="17" t="n">
        <x:f>IF(Z14=0,"不适用",Z24/Z14)</x:f>
        <x:v>0.3095833333333333</x:v>
      </x:c>
      <x:c r="AA25" s="17" t="n">
        <x:f>IF(AA14=0,"不适用",AA24/AA14)</x:f>
        <x:v>0.31746031746031744</x:v>
      </x:c>
      <x:c r="AB25" s="17" t="n">
        <x:f>IF(AB14=0,"不适用",AB24/AB14)</x:f>
        <x:v>0.32462121212121214</x:v>
      </x:c>
      <x:c r="AC25" s="17" t="n">
        <x:f>IF(AC14=0,"不适用",AC24/AC14)</x:f>
        <x:v>0.331159420289855</x:v>
      </x:c>
      <x:c r="AD25" s="17" t="n">
        <x:f>IF(AD14=0,"不适用",AD24/AD14)</x:f>
        <x:v>0.33715277777777775</x:v>
      </x:c>
      <x:c r="AE25" s="17" t="n">
        <x:f>IF(AE14=0,"不适用",AE24/AE14)</x:f>
        <x:v>0.3426666666666666</x:v>
      </x:c>
      <x:c r="AF25" s="17" t="n">
        <x:f>IF(AF14=0,"不适用",AF24/AF14)</x:f>
        <x:v>0.3616666666666667</x:v>
      </x:c>
      <x:c r="AG25" s="17" t="n">
        <x:f>IF(AG14=0,"不适用",AG24/AG14)</x:f>
        <x:v>0.3616666666666667</x:v>
      </x:c>
      <x:c r="AH25" s="17" t="n">
        <x:f>IF(AH14=0,"不适用",AH24/AH14)</x:f>
        <x:v>0.3616666666666667</x:v>
      </x:c>
      <x:c r="AI25" s="17" t="n">
        <x:f>IF(AI14=0,"不适用",AI24/AI14)</x:f>
        <x:v>0.3616666666666667</x:v>
      </x:c>
      <x:c r="AJ25" s="17" t="n">
        <x:f>IF(AJ14=0,"不适用",AJ24/AJ14)</x:f>
        <x:v>0.3616666666666667</x:v>
      </x:c>
      <x:c r="AK25" s="17" t="n">
        <x:f>IF(AK14=0,"不适用",AK24/AK14)</x:f>
        <x:v>0.3616666666666667</x:v>
      </x:c>
      <x:c r="AL25" s="17" t="n">
        <x:f>IF(AL14=0,"不适用",AL24/AL14)</x:f>
        <x:v>0.3616666666666667</x:v>
      </x:c>
      <x:c r="AM25" s="17" t="n">
        <x:f>IF(AM14=0,"不适用",AM24/AM14)</x:f>
        <x:v>0.3616666666666667</x:v>
      </x:c>
      <x:c r="AN25" s="3"/>
    </x:row>
    <x:row r="26" ht="24" customHeight="1">
      <x:c r="A26" s="1"/>
      <x:c r="B26" s="1"/>
      <x:c r="C26" s="1" t="str">
        <x:v>开发现金支付</x:v>
      </x:c>
      <x:c r="D26" s="15" t="n">
        <x:f>IF(D$5&lt;='假设'!$D$25,('假设'!$D$16+'假设'!$D$17)/'假设'!$D$25,0)</x:f>
        <x:v>47437.5</x:v>
      </x:c>
      <x:c r="E26" s="15" t="n">
        <x:f>IF(E$5&lt;='假设'!$D$25,('假设'!$D$16+'假设'!$D$17)/'假设'!$D$25,0)</x:f>
        <x:v>47437.5</x:v>
      </x:c>
      <x:c r="F26" s="15" t="n">
        <x:f>IF(F$5&lt;='假设'!$D$25,('假设'!$D$16+'假设'!$D$17)/'假设'!$D$25,0)</x:f>
        <x:v>47437.5</x:v>
      </x:c>
      <x:c r="G26" s="15" t="n">
        <x:f>IF(G$5&lt;='假设'!$D$25,('假设'!$D$16+'假设'!$D$17)/'假设'!$D$25,0)</x:f>
        <x:v>47437.5</x:v>
      </x:c>
      <x:c r="H26" s="15" t="n">
        <x:f>IF(H$5&lt;='假设'!$D$25,('假设'!$D$16+'假设'!$D$17)/'假设'!$D$25,0)</x:f>
        <x:v>0</x:v>
      </x:c>
      <x:c r="I26" s="15" t="n">
        <x:f>IF(I$5&lt;='假设'!$D$25,('假设'!$D$16+'假设'!$D$17)/'假设'!$D$25,0)</x:f>
        <x:v>0</x:v>
      </x:c>
      <x:c r="J26" s="15" t="n">
        <x:f>IF(J$5&lt;='假设'!$D$25,('假设'!$D$16+'假设'!$D$17)/'假设'!$D$25,0)</x:f>
        <x:v>0</x:v>
      </x:c>
      <x:c r="K26" s="15" t="n">
        <x:f>IF(K$5&lt;='假设'!$D$25,('假设'!$D$16+'假设'!$D$17)/'假设'!$D$25,0)</x:f>
        <x:v>0</x:v>
      </x:c>
      <x:c r="L26" s="15" t="n">
        <x:f>IF(L$5&lt;='假设'!$D$25,('假设'!$D$16+'假设'!$D$17)/'假设'!$D$25,0)</x:f>
        <x:v>0</x:v>
      </x:c>
      <x:c r="M26" s="15" t="n">
        <x:f>IF(M$5&lt;='假设'!$D$25,('假设'!$D$16+'假设'!$D$17)/'假设'!$D$25,0)</x:f>
        <x:v>0</x:v>
      </x:c>
      <x:c r="N26" s="15" t="n">
        <x:f>IF(N$5&lt;='假设'!$D$25,('假设'!$D$16+'假设'!$D$17)/'假设'!$D$25,0)</x:f>
        <x:v>0</x:v>
      </x:c>
      <x:c r="O26" s="15" t="n">
        <x:f>IF(O$5&lt;='假设'!$D$25,('假设'!$D$16+'假设'!$D$17)/'假设'!$D$25,0)</x:f>
        <x:v>0</x:v>
      </x:c>
      <x:c r="P26" s="15" t="n">
        <x:f>IF(P$5&lt;='假设'!$D$25,('假设'!$D$16+'假设'!$D$17)/'假设'!$D$25,0)</x:f>
        <x:v>0</x:v>
      </x:c>
      <x:c r="Q26" s="15" t="n">
        <x:f>IF(Q$5&lt;='假设'!$D$25,('假设'!$D$16+'假设'!$D$17)/'假设'!$D$25,0)</x:f>
        <x:v>0</x:v>
      </x:c>
      <x:c r="R26" s="15" t="n">
        <x:f>IF(R$5&lt;='假设'!$D$25,('假设'!$D$16+'假设'!$D$17)/'假设'!$D$25,0)</x:f>
        <x:v>0</x:v>
      </x:c>
      <x:c r="S26" s="15" t="n">
        <x:f>IF(S$5&lt;='假设'!$D$25,('假设'!$D$16+'假设'!$D$17)/'假设'!$D$25,0)</x:f>
        <x:v>0</x:v>
      </x:c>
      <x:c r="T26" s="15" t="n">
        <x:f>IF(T$5&lt;='假设'!$D$25,('假设'!$D$16+'假设'!$D$17)/'假设'!$D$25,0)</x:f>
        <x:v>0</x:v>
      </x:c>
      <x:c r="U26" s="15" t="n">
        <x:f>IF(U$5&lt;='假设'!$D$25,('假设'!$D$16+'假设'!$D$17)/'假设'!$D$25,0)</x:f>
        <x:v>0</x:v>
      </x:c>
      <x:c r="V26" s="15" t="n">
        <x:f>IF(V$5&lt;='假设'!$D$25,('假设'!$D$16+'假设'!$D$17)/'假设'!$D$25,0)</x:f>
        <x:v>0</x:v>
      </x:c>
      <x:c r="W26" s="15" t="n">
        <x:f>IF(W$5&lt;='假设'!$D$25,('假设'!$D$16+'假设'!$D$17)/'假设'!$D$25,0)</x:f>
        <x:v>0</x:v>
      </x:c>
      <x:c r="X26" s="15" t="n">
        <x:f>IF(X$5&lt;='假设'!$D$25,('假设'!$D$16+'假设'!$D$17)/'假设'!$D$25,0)</x:f>
        <x:v>0</x:v>
      </x:c>
      <x:c r="Y26" s="15" t="n">
        <x:f>IF(Y$5&lt;='假设'!$D$25,('假设'!$D$16+'假设'!$D$17)/'假设'!$D$25,0)</x:f>
        <x:v>0</x:v>
      </x:c>
      <x:c r="Z26" s="15" t="n">
        <x:f>IF(Z$5&lt;='假设'!$D$25,('假设'!$D$16+'假设'!$D$17)/'假设'!$D$25,0)</x:f>
        <x:v>0</x:v>
      </x:c>
      <x:c r="AA26" s="15" t="n">
        <x:f>IF(AA$5&lt;='假设'!$D$25,('假设'!$D$16+'假设'!$D$17)/'假设'!$D$25,0)</x:f>
        <x:v>0</x:v>
      </x:c>
      <x:c r="AB26" s="15" t="n">
        <x:f>IF(AB$5&lt;='假设'!$D$25,('假设'!$D$16+'假设'!$D$17)/'假设'!$D$25,0)</x:f>
        <x:v>0</x:v>
      </x:c>
      <x:c r="AC26" s="15" t="n">
        <x:f>IF(AC$5&lt;='假设'!$D$25,('假设'!$D$16+'假设'!$D$17)/'假设'!$D$25,0)</x:f>
        <x:v>0</x:v>
      </x:c>
      <x:c r="AD26" s="15" t="n">
        <x:f>IF(AD$5&lt;='假设'!$D$25,('假设'!$D$16+'假设'!$D$17)/'假设'!$D$25,0)</x:f>
        <x:v>0</x:v>
      </x:c>
      <x:c r="AE26" s="15" t="n">
        <x:f>IF(AE$5&lt;='假设'!$D$25,('假设'!$D$16+'假设'!$D$17)/'假设'!$D$25,0)</x:f>
        <x:v>0</x:v>
      </x:c>
      <x:c r="AF26" s="15" t="n">
        <x:f>IF(AF$5&lt;='假设'!$D$25,('假设'!$D$16+'假设'!$D$17)/'假设'!$D$25,0)</x:f>
        <x:v>0</x:v>
      </x:c>
      <x:c r="AG26" s="15" t="n">
        <x:f>IF(AG$5&lt;='假设'!$D$25,('假设'!$D$16+'假设'!$D$17)/'假设'!$D$25,0)</x:f>
        <x:v>0</x:v>
      </x:c>
      <x:c r="AH26" s="15" t="n">
        <x:f>IF(AH$5&lt;='假设'!$D$25,('假设'!$D$16+'假设'!$D$17)/'假设'!$D$25,0)</x:f>
        <x:v>0</x:v>
      </x:c>
      <x:c r="AI26" s="15" t="n">
        <x:f>IF(AI$5&lt;='假设'!$D$25,('假设'!$D$16+'假设'!$D$17)/'假设'!$D$25,0)</x:f>
        <x:v>0</x:v>
      </x:c>
      <x:c r="AJ26" s="15" t="n">
        <x:f>IF(AJ$5&lt;='假设'!$D$25,('假设'!$D$16+'假设'!$D$17)/'假设'!$D$25,0)</x:f>
        <x:v>0</x:v>
      </x:c>
      <x:c r="AK26" s="15" t="n">
        <x:f>IF(AK$5&lt;='假设'!$D$25,('假设'!$D$16+'假设'!$D$17)/'假设'!$D$25,0)</x:f>
        <x:v>0</x:v>
      </x:c>
      <x:c r="AL26" s="15" t="n">
        <x:f>IF(AL$5&lt;='假设'!$D$25,('假设'!$D$16+'假设'!$D$17)/'假设'!$D$25,0)</x:f>
        <x:v>0</x:v>
      </x:c>
      <x:c r="AM26" s="15" t="n">
        <x:f>IF(AM$5&lt;='假设'!$D$25,('假设'!$D$16+'假设'!$D$17)/'假设'!$D$25,0)</x:f>
        <x:v>0</x:v>
      </x:c>
      <x:c r="AN26" s="3"/>
    </x:row>
    <x:row r="27" ht="24" customHeight="1">
      <x:c r="A27" s="1"/>
      <x:c r="B27" s="1"/>
      <x:c r="C27" s="1" t="str">
        <x:v>一次性启动现金支出</x:v>
      </x:c>
      <x:c r="D27" s="15" t="n">
        <x:f>IF(D$5='假设'!$D$25+1,'假设'!$D$19,0)</x:f>
        <x:v>0</x:v>
      </x:c>
      <x:c r="E27" s="15" t="n">
        <x:f>IF(E$5='假设'!$D$25+1,'假设'!$D$19,0)</x:f>
        <x:v>0</x:v>
      </x:c>
      <x:c r="F27" s="15" t="n">
        <x:f>IF(F$5='假设'!$D$25+1,'假设'!$D$19,0)</x:f>
        <x:v>0</x:v>
      </x:c>
      <x:c r="G27" s="15" t="n">
        <x:f>IF(G$5='假设'!$D$25+1,'假设'!$D$19,0)</x:f>
        <x:v>0</x:v>
      </x:c>
      <x:c r="H27" s="15" t="n">
        <x:f>IF(H$5='假设'!$D$25+1,'假设'!$D$19,0)</x:f>
        <x:v>50000</x:v>
      </x:c>
      <x:c r="I27" s="15" t="n">
        <x:f>IF(I$5='假设'!$D$25+1,'假设'!$D$19,0)</x:f>
        <x:v>0</x:v>
      </x:c>
      <x:c r="J27" s="15" t="n">
        <x:f>IF(J$5='假设'!$D$25+1,'假设'!$D$19,0)</x:f>
        <x:v>0</x:v>
      </x:c>
      <x:c r="K27" s="15" t="n">
        <x:f>IF(K$5='假设'!$D$25+1,'假设'!$D$19,0)</x:f>
        <x:v>0</x:v>
      </x:c>
      <x:c r="L27" s="15" t="n">
        <x:f>IF(L$5='假设'!$D$25+1,'假设'!$D$19,0)</x:f>
        <x:v>0</x:v>
      </x:c>
      <x:c r="M27" s="15" t="n">
        <x:f>IF(M$5='假设'!$D$25+1,'假设'!$D$19,0)</x:f>
        <x:v>0</x:v>
      </x:c>
      <x:c r="N27" s="15" t="n">
        <x:f>IF(N$5='假设'!$D$25+1,'假设'!$D$19,0)</x:f>
        <x:v>0</x:v>
      </x:c>
      <x:c r="O27" s="15" t="n">
        <x:f>IF(O$5='假设'!$D$25+1,'假设'!$D$19,0)</x:f>
        <x:v>0</x:v>
      </x:c>
      <x:c r="P27" s="15" t="n">
        <x:f>IF(P$5='假设'!$D$25+1,'假设'!$D$19,0)</x:f>
        <x:v>0</x:v>
      </x:c>
      <x:c r="Q27" s="15" t="n">
        <x:f>IF(Q$5='假设'!$D$25+1,'假设'!$D$19,0)</x:f>
        <x:v>0</x:v>
      </x:c>
      <x:c r="R27" s="15" t="n">
        <x:f>IF(R$5='假设'!$D$25+1,'假设'!$D$19,0)</x:f>
        <x:v>0</x:v>
      </x:c>
      <x:c r="S27" s="15" t="n">
        <x:f>IF(S$5='假设'!$D$25+1,'假设'!$D$19,0)</x:f>
        <x:v>0</x:v>
      </x:c>
      <x:c r="T27" s="15" t="n">
        <x:f>IF(T$5='假设'!$D$25+1,'假设'!$D$19,0)</x:f>
        <x:v>0</x:v>
      </x:c>
      <x:c r="U27" s="15" t="n">
        <x:f>IF(U$5='假设'!$D$25+1,'假设'!$D$19,0)</x:f>
        <x:v>0</x:v>
      </x:c>
      <x:c r="V27" s="15" t="n">
        <x:f>IF(V$5='假设'!$D$25+1,'假设'!$D$19,0)</x:f>
        <x:v>0</x:v>
      </x:c>
      <x:c r="W27" s="15" t="n">
        <x:f>IF(W$5='假设'!$D$25+1,'假设'!$D$19,0)</x:f>
        <x:v>0</x:v>
      </x:c>
      <x:c r="X27" s="15" t="n">
        <x:f>IF(X$5='假设'!$D$25+1,'假设'!$D$19,0)</x:f>
        <x:v>0</x:v>
      </x:c>
      <x:c r="Y27" s="15" t="n">
        <x:f>IF(Y$5='假设'!$D$25+1,'假设'!$D$19,0)</x:f>
        <x:v>0</x:v>
      </x:c>
      <x:c r="Z27" s="15" t="n">
        <x:f>IF(Z$5='假设'!$D$25+1,'假设'!$D$19,0)</x:f>
        <x:v>0</x:v>
      </x:c>
      <x:c r="AA27" s="15" t="n">
        <x:f>IF(AA$5='假设'!$D$25+1,'假设'!$D$19,0)</x:f>
        <x:v>0</x:v>
      </x:c>
      <x:c r="AB27" s="15" t="n">
        <x:f>IF(AB$5='假设'!$D$25+1,'假设'!$D$19,0)</x:f>
        <x:v>0</x:v>
      </x:c>
      <x:c r="AC27" s="15" t="n">
        <x:f>IF(AC$5='假设'!$D$25+1,'假设'!$D$19,0)</x:f>
        <x:v>0</x:v>
      </x:c>
      <x:c r="AD27" s="15" t="n">
        <x:f>IF(AD$5='假设'!$D$25+1,'假设'!$D$19,0)</x:f>
        <x:v>0</x:v>
      </x:c>
      <x:c r="AE27" s="15" t="n">
        <x:f>IF(AE$5='假设'!$D$25+1,'假设'!$D$19,0)</x:f>
        <x:v>0</x:v>
      </x:c>
      <x:c r="AF27" s="15" t="n">
        <x:f>IF(AF$5='假设'!$D$25+1,'假设'!$D$19,0)</x:f>
        <x:v>0</x:v>
      </x:c>
      <x:c r="AG27" s="15" t="n">
        <x:f>IF(AG$5='假设'!$D$25+1,'假设'!$D$19,0)</x:f>
        <x:v>0</x:v>
      </x:c>
      <x:c r="AH27" s="15" t="n">
        <x:f>IF(AH$5='假设'!$D$25+1,'假设'!$D$19,0)</x:f>
        <x:v>0</x:v>
      </x:c>
      <x:c r="AI27" s="15" t="n">
        <x:f>IF(AI$5='假设'!$D$25+1,'假设'!$D$19,0)</x:f>
        <x:v>0</x:v>
      </x:c>
      <x:c r="AJ27" s="15" t="n">
        <x:f>IF(AJ$5='假设'!$D$25+1,'假设'!$D$19,0)</x:f>
        <x:v>0</x:v>
      </x:c>
      <x:c r="AK27" s="15" t="n">
        <x:f>IF(AK$5='假设'!$D$25+1,'假设'!$D$19,0)</x:f>
        <x:v>0</x:v>
      </x:c>
      <x:c r="AL27" s="15" t="n">
        <x:f>IF(AL$5='假设'!$D$25+1,'假设'!$D$19,0)</x:f>
        <x:v>0</x:v>
      </x:c>
      <x:c r="AM27" s="15" t="n">
        <x:f>IF(AM$5='假设'!$D$25+1,'假设'!$D$19,0)</x:f>
        <x:v>0</x:v>
      </x:c>
      <x:c r="AN27" s="3"/>
    </x:row>
    <x:row r="28" ht="24" customHeight="1">
      <x:c r="A28" s="1"/>
      <x:c r="B28" s="1"/>
      <x:c r="C28" s="22" t="str">
        <x:v>融资前税前现金流</x:v>
      </x:c>
      <x:c r="D28" s="24" t="n">
        <x:f>D24-D26-D27-D14+D33</x:f>
        <x:v>-59437.5</x:v>
      </x:c>
      <x:c r="E28" s="24" t="n">
        <x:f>E24-E26-E27-E14+E33</x:f>
        <x:v>-59437.5</x:v>
      </x:c>
      <x:c r="F28" s="24" t="n">
        <x:f>F24-F26-F27-F14+F33</x:f>
        <x:v>-59437.5</x:v>
      </x:c>
      <x:c r="G28" s="24" t="n">
        <x:f>G24-G26-G27-G14+G33</x:f>
        <x:v>-59437.5</x:v>
      </x:c>
      <x:c r="H28" s="24" t="n">
        <x:f>H24-H26-H27-H14+H33</x:f>
        <x:v>-61000</x:v>
      </x:c>
      <x:c r="I28" s="24" t="n">
        <x:f>I24-I26-I27-I14+I33</x:f>
        <x:v>-11300</x:v>
      </x:c>
      <x:c r="J28" s="24" t="n">
        <x:f>J24-J26-J27-J14+J33</x:f>
        <x:v>-8450</x:v>
      </x:c>
      <x:c r="K28" s="24" t="n">
        <x:f>K24-K26-K27-K14+K33</x:f>
        <x:v>-5600</x:v>
      </x:c>
      <x:c r="L28" s="24" t="n">
        <x:f>L24-L26-L27-L14+L33</x:f>
        <x:v>-2750</x:v>
      </x:c>
      <x:c r="M28" s="24" t="n">
        <x:f>M24-M26-M27-M14+M33</x:f>
        <x:v>100</x:v>
      </x:c>
      <x:c r="N28" s="24" t="n">
        <x:f>N24-N26-N27-N14+N33</x:f>
        <x:v>2950</x:v>
      </x:c>
      <x:c r="O28" s="24" t="n">
        <x:f>O24-O26-O27-O14+O33</x:f>
        <x:v>5800</x:v>
      </x:c>
      <x:c r="P28" s="24" t="n">
        <x:f>P24-P26-P27-P14+P33</x:f>
        <x:v>8650</x:v>
      </x:c>
      <x:c r="Q28" s="24" t="n">
        <x:f>Q24-Q26-Q27-Q14+Q33</x:f>
        <x:v>11500</x:v>
      </x:c>
      <x:c r="R28" s="24" t="n">
        <x:f>R24-R26-R27-R14+R33</x:f>
        <x:v>14350</x:v>
      </x:c>
      <x:c r="S28" s="24" t="n">
        <x:f>S24-S26-S27-S14+S33</x:f>
        <x:v>17200</x:v>
      </x:c>
      <x:c r="T28" s="24" t="n">
        <x:f>T24-T26-T27-T14+T33</x:f>
        <x:v>20050</x:v>
      </x:c>
      <x:c r="U28" s="24" t="n">
        <x:f>U24-U26-U27-U14+U33</x:f>
        <x:v>22900</x:v>
      </x:c>
      <x:c r="V28" s="24" t="n">
        <x:f>V24-V26-V27-V14+V33</x:f>
        <x:v>25750</x:v>
      </x:c>
      <x:c r="W28" s="24" t="n">
        <x:f>W24-W26-W27-W14+W33</x:f>
        <x:v>28600</x:v>
      </x:c>
      <x:c r="X28" s="24" t="n">
        <x:f>X24-X26-X27-X14+X33</x:f>
        <x:v>31450</x:v>
      </x:c>
      <x:c r="Y28" s="24" t="n">
        <x:f>Y24-Y26-Y27-Y14+Y33</x:f>
        <x:v>34300</x:v>
      </x:c>
      <x:c r="Z28" s="24" t="n">
        <x:f>Z24-Z26-Z27-Z14+Z33</x:f>
        <x:v>37150</x:v>
      </x:c>
      <x:c r="AA28" s="24" t="n">
        <x:f>AA24-AA26-AA27-AA14+AA33</x:f>
        <x:v>40000</x:v>
      </x:c>
      <x:c r="AB28" s="24" t="n">
        <x:f>AB24-AB26-AB27-AB14+AB33</x:f>
        <x:v>42850</x:v>
      </x:c>
      <x:c r="AC28" s="24" t="n">
        <x:f>AC24-AC26-AC27-AC14+AC33</x:f>
        <x:v>45700</x:v>
      </x:c>
      <x:c r="AD28" s="24" t="n">
        <x:f>AD24-AD26-AD27-AD14+AD33</x:f>
        <x:v>48550</x:v>
      </x:c>
      <x:c r="AE28" s="24" t="n">
        <x:f>AE24-AE26-AE27-AE14+AE33</x:f>
        <x:v>51400</x:v>
      </x:c>
      <x:c r="AF28" s="24" t="n">
        <x:f>AF24-AF26-AF27-AF14+AF33</x:f>
        <x:v>54250</x:v>
      </x:c>
      <x:c r="AG28" s="24" t="n">
        <x:f>AG24-AG26-AG27-AG14+AG33</x:f>
        <x:v>54250</x:v>
      </x:c>
      <x:c r="AH28" s="24" t="n">
        <x:f>AH24-AH26-AH27-AH14+AH33</x:f>
        <x:v>54250</x:v>
      </x:c>
      <x:c r="AI28" s="24" t="n">
        <x:f>AI24-AI26-AI27-AI14+AI33</x:f>
        <x:v>54250</x:v>
      </x:c>
      <x:c r="AJ28" s="24" t="n">
        <x:f>AJ24-AJ26-AJ27-AJ14+AJ33</x:f>
        <x:v>54250</x:v>
      </x:c>
      <x:c r="AK28" s="24" t="n">
        <x:f>AK24-AK26-AK27-AK14+AK33</x:f>
        <x:v>54250</x:v>
      </x:c>
      <x:c r="AL28" s="24" t="n">
        <x:f>AL24-AL26-AL27-AL14+AL33</x:f>
        <x:v>54250</x:v>
      </x:c>
      <x:c r="AM28" s="24" t="n">
        <x:f>AM24-AM26-AM27-AM14+AM33</x:f>
        <x:v>54250</x:v>
      </x:c>
      <x:c r="AN28" s="3"/>
    </x:row>
    <x:row r="29" ht="24" customHeight="1">
      <x:c r="A29" s="1"/>
      <x:c r="B29" s="1"/>
      <x:c r="C29" s="22" t="str">
        <x:v>累计公司现金流</x:v>
      </x:c>
      <x:c r="D29" s="24" t="n">
        <x:f>D28</x:f>
        <x:v>-59437.5</x:v>
      </x:c>
      <x:c r="E29" s="24" t="n">
        <x:f>D29+E28</x:f>
        <x:v>-118875</x:v>
      </x:c>
      <x:c r="F29" s="24" t="n">
        <x:f>E29+F28</x:f>
        <x:v>-178312.5</x:v>
      </x:c>
      <x:c r="G29" s="24" t="n">
        <x:f>F29+G28</x:f>
        <x:v>-237750</x:v>
      </x:c>
      <x:c r="H29" s="24" t="n">
        <x:f>G29+H28</x:f>
        <x:v>-298750</x:v>
      </x:c>
      <x:c r="I29" s="24" t="n">
        <x:f>H29+I28</x:f>
        <x:v>-310050</x:v>
      </x:c>
      <x:c r="J29" s="24" t="n">
        <x:f>I29+J28</x:f>
        <x:v>-318500</x:v>
      </x:c>
      <x:c r="K29" s="24" t="n">
        <x:f>J29+K28</x:f>
        <x:v>-324100</x:v>
      </x:c>
      <x:c r="L29" s="24" t="n">
        <x:f>K29+L28</x:f>
        <x:v>-326850</x:v>
      </x:c>
      <x:c r="M29" s="24" t="n">
        <x:f>L29+M28</x:f>
        <x:v>-326750</x:v>
      </x:c>
      <x:c r="N29" s="24" t="n">
        <x:f>M29+N28</x:f>
        <x:v>-323800</x:v>
      </x:c>
      <x:c r="O29" s="24" t="n">
        <x:f>N29+O28</x:f>
        <x:v>-318000</x:v>
      </x:c>
      <x:c r="P29" s="24" t="n">
        <x:f>O29+P28</x:f>
        <x:v>-309350</x:v>
      </x:c>
      <x:c r="Q29" s="24" t="n">
        <x:f>P29+Q28</x:f>
        <x:v>-297850</x:v>
      </x:c>
      <x:c r="R29" s="24" t="n">
        <x:f>Q29+R28</x:f>
        <x:v>-283500</x:v>
      </x:c>
      <x:c r="S29" s="24" t="n">
        <x:f>R29+S28</x:f>
        <x:v>-266300</x:v>
      </x:c>
      <x:c r="T29" s="24" t="n">
        <x:f>S29+T28</x:f>
        <x:v>-246250</x:v>
      </x:c>
      <x:c r="U29" s="24" t="n">
        <x:f>T29+U28</x:f>
        <x:v>-223350</x:v>
      </x:c>
      <x:c r="V29" s="24" t="n">
        <x:f>U29+V28</x:f>
        <x:v>-197600</x:v>
      </x:c>
      <x:c r="W29" s="24" t="n">
        <x:f>V29+W28</x:f>
        <x:v>-169000</x:v>
      </x:c>
      <x:c r="X29" s="24" t="n">
        <x:f>W29+X28</x:f>
        <x:v>-137550</x:v>
      </x:c>
      <x:c r="Y29" s="24" t="n">
        <x:f>X29+Y28</x:f>
        <x:v>-103250</x:v>
      </x:c>
      <x:c r="Z29" s="24" t="n">
        <x:f>Y29+Z28</x:f>
        <x:v>-66100</x:v>
      </x:c>
      <x:c r="AA29" s="24" t="n">
        <x:f>Z29+AA28</x:f>
        <x:v>-26100</x:v>
      </x:c>
      <x:c r="AB29" s="24" t="n">
        <x:f>AA29+AB28</x:f>
        <x:v>16750</x:v>
      </x:c>
      <x:c r="AC29" s="24" t="n">
        <x:f>AB29+AC28</x:f>
        <x:v>62450</x:v>
      </x:c>
      <x:c r="AD29" s="24" t="n">
        <x:f>AC29+AD28</x:f>
        <x:v>111000</x:v>
      </x:c>
      <x:c r="AE29" s="24" t="n">
        <x:f>AD29+AE28</x:f>
        <x:v>162400</x:v>
      </x:c>
      <x:c r="AF29" s="24" t="n">
        <x:f>AE29+AF28</x:f>
        <x:v>216650</x:v>
      </x:c>
      <x:c r="AG29" s="24" t="n">
        <x:f>AF29+AG28</x:f>
        <x:v>270900</x:v>
      </x:c>
      <x:c r="AH29" s="24" t="n">
        <x:f>AG29+AH28</x:f>
        <x:v>325150</x:v>
      </x:c>
      <x:c r="AI29" s="24" t="n">
        <x:f>AH29+AI28</x:f>
        <x:v>379400</x:v>
      </x:c>
      <x:c r="AJ29" s="24" t="n">
        <x:f>AI29+AJ28</x:f>
        <x:v>433650</x:v>
      </x:c>
      <x:c r="AK29" s="24" t="n">
        <x:f>AJ29+AK28</x:f>
        <x:v>487900</x:v>
      </x:c>
      <x:c r="AL29" s="24" t="n">
        <x:f>AK29+AL28</x:f>
        <x:v>542150</x:v>
      </x:c>
      <x:c r="AM29" s="24" t="n">
        <x:f>AL29+AM28</x:f>
        <x:v>596400</x:v>
      </x:c>
      <x:c r="AN29" s="3"/>
    </x:row>
    <x:row r="30" ht="24" customHeight="1">
      <x:c r="A30" s="1"/>
      <x:c r="B30" s="1"/>
      <x:c r="C30" s="1" t="str">
        <x:v>含期初现金的余额</x:v>
      </x:c>
      <x:c r="D30" s="15" t="n">
        <x:f>'假设'!$D$23+D29</x:f>
        <x:v>-59437.5</x:v>
      </x:c>
      <x:c r="E30" s="15" t="n">
        <x:f>'假设'!$D$23+E29</x:f>
        <x:v>-118875</x:v>
      </x:c>
      <x:c r="F30" s="15" t="n">
        <x:f>'假设'!$D$23+F29</x:f>
        <x:v>-178312.5</x:v>
      </x:c>
      <x:c r="G30" s="15" t="n">
        <x:f>'假设'!$D$23+G29</x:f>
        <x:v>-237750</x:v>
      </x:c>
      <x:c r="H30" s="15" t="n">
        <x:f>'假设'!$D$23+H29</x:f>
        <x:v>-298750</x:v>
      </x:c>
      <x:c r="I30" s="15" t="n">
        <x:f>'假设'!$D$23+I29</x:f>
        <x:v>-310050</x:v>
      </x:c>
      <x:c r="J30" s="15" t="n">
        <x:f>'假设'!$D$23+J29</x:f>
        <x:v>-318500</x:v>
      </x:c>
      <x:c r="K30" s="15" t="n">
        <x:f>'假设'!$D$23+K29</x:f>
        <x:v>-324100</x:v>
      </x:c>
      <x:c r="L30" s="15" t="n">
        <x:f>'假设'!$D$23+L29</x:f>
        <x:v>-326850</x:v>
      </x:c>
      <x:c r="M30" s="15" t="n">
        <x:f>'假设'!$D$23+M29</x:f>
        <x:v>-326750</x:v>
      </x:c>
      <x:c r="N30" s="15" t="n">
        <x:f>'假设'!$D$23+N29</x:f>
        <x:v>-323800</x:v>
      </x:c>
      <x:c r="O30" s="15" t="n">
        <x:f>'假设'!$D$23+O29</x:f>
        <x:v>-318000</x:v>
      </x:c>
      <x:c r="P30" s="15" t="n">
        <x:f>'假设'!$D$23+P29</x:f>
        <x:v>-309350</x:v>
      </x:c>
      <x:c r="Q30" s="15" t="n">
        <x:f>'假设'!$D$23+Q29</x:f>
        <x:v>-297850</x:v>
      </x:c>
      <x:c r="R30" s="15" t="n">
        <x:f>'假设'!$D$23+R29</x:f>
        <x:v>-283500</x:v>
      </x:c>
      <x:c r="S30" s="15" t="n">
        <x:f>'假设'!$D$23+S29</x:f>
        <x:v>-266300</x:v>
      </x:c>
      <x:c r="T30" s="15" t="n">
        <x:f>'假设'!$D$23+T29</x:f>
        <x:v>-246250</x:v>
      </x:c>
      <x:c r="U30" s="15" t="n">
        <x:f>'假设'!$D$23+U29</x:f>
        <x:v>-223350</x:v>
      </x:c>
      <x:c r="V30" s="15" t="n">
        <x:f>'假设'!$D$23+V29</x:f>
        <x:v>-197600</x:v>
      </x:c>
      <x:c r="W30" s="15" t="n">
        <x:f>'假设'!$D$23+W29</x:f>
        <x:v>-169000</x:v>
      </x:c>
      <x:c r="X30" s="15" t="n">
        <x:f>'假设'!$D$23+X29</x:f>
        <x:v>-137550</x:v>
      </x:c>
      <x:c r="Y30" s="15" t="n">
        <x:f>'假设'!$D$23+Y29</x:f>
        <x:v>-103250</x:v>
      </x:c>
      <x:c r="Z30" s="15" t="n">
        <x:f>'假设'!$D$23+Z29</x:f>
        <x:v>-66100</x:v>
      </x:c>
      <x:c r="AA30" s="15" t="n">
        <x:f>'假设'!$D$23+AA29</x:f>
        <x:v>-26100</x:v>
      </x:c>
      <x:c r="AB30" s="15" t="n">
        <x:f>'假设'!$D$23+AB29</x:f>
        <x:v>16750</x:v>
      </x:c>
      <x:c r="AC30" s="15" t="n">
        <x:f>'假设'!$D$23+AC29</x:f>
        <x:v>62450</x:v>
      </x:c>
      <x:c r="AD30" s="15" t="n">
        <x:f>'假设'!$D$23+AD29</x:f>
        <x:v>111000</x:v>
      </x:c>
      <x:c r="AE30" s="15" t="n">
        <x:f>'假设'!$D$23+AE29</x:f>
        <x:v>162400</x:v>
      </x:c>
      <x:c r="AF30" s="15" t="n">
        <x:f>'假设'!$D$23+AF29</x:f>
        <x:v>216650</x:v>
      </x:c>
      <x:c r="AG30" s="15" t="n">
        <x:f>'假设'!$D$23+AG29</x:f>
        <x:v>270900</x:v>
      </x:c>
      <x:c r="AH30" s="15" t="n">
        <x:f>'假设'!$D$23+AH29</x:f>
        <x:v>325150</x:v>
      </x:c>
      <x:c r="AI30" s="15" t="n">
        <x:f>'假设'!$D$23+AI29</x:f>
        <x:v>379400</x:v>
      </x:c>
      <x:c r="AJ30" s="15" t="n">
        <x:f>'假设'!$D$23+AJ29</x:f>
        <x:v>433650</x:v>
      </x:c>
      <x:c r="AK30" s="15" t="n">
        <x:f>'假设'!$D$23+AK29</x:f>
        <x:v>487900</x:v>
      </x:c>
      <x:c r="AL30" s="15" t="n">
        <x:f>'假设'!$D$23+AL29</x:f>
        <x:v>542150</x:v>
      </x:c>
      <x:c r="AM30" s="15" t="n">
        <x:f>'假设'!$D$23+AM29</x:f>
        <x:v>596400</x:v>
      </x:c>
      <x:c r="AN30" s="3"/>
    </x:row>
    <x:row r="31" ht="24" customHeight="1">
      <x:c r="A31" s="1"/>
      <x:c r="B31" s="1"/>
      <x:c r="C31" s="1" t="str">
        <x:v>累计回本月标记</x:v>
      </x:c>
      <x:c r="D31" s="15" t="n">
        <x:f>IF(AND(D$5&gt;'假设'!$D$25,D29&gt;=0),D$5,999)</x:f>
        <x:v>999</x:v>
      </x:c>
      <x:c r="E31" s="15" t="n">
        <x:f>IF(AND(E$5&gt;'假设'!$D$25,E29&gt;=0),E$5,999)</x:f>
        <x:v>999</x:v>
      </x:c>
      <x:c r="F31" s="15" t="n">
        <x:f>IF(AND(F$5&gt;'假设'!$D$25,F29&gt;=0),F$5,999)</x:f>
        <x:v>999</x:v>
      </x:c>
      <x:c r="G31" s="15" t="n">
        <x:f>IF(AND(G$5&gt;'假设'!$D$25,G29&gt;=0),G$5,999)</x:f>
        <x:v>999</x:v>
      </x:c>
      <x:c r="H31" s="15" t="n">
        <x:f>IF(AND(H$5&gt;'假设'!$D$25,H29&gt;=0),H$5,999)</x:f>
        <x:v>999</x:v>
      </x:c>
      <x:c r="I31" s="15" t="n">
        <x:f>IF(AND(I$5&gt;'假设'!$D$25,I29&gt;=0),I$5,999)</x:f>
        <x:v>999</x:v>
      </x:c>
      <x:c r="J31" s="15" t="n">
        <x:f>IF(AND(J$5&gt;'假设'!$D$25,J29&gt;=0),J$5,999)</x:f>
        <x:v>999</x:v>
      </x:c>
      <x:c r="K31" s="15" t="n">
        <x:f>IF(AND(K$5&gt;'假设'!$D$25,K29&gt;=0),K$5,999)</x:f>
        <x:v>999</x:v>
      </x:c>
      <x:c r="L31" s="15" t="n">
        <x:f>IF(AND(L$5&gt;'假设'!$D$25,L29&gt;=0),L$5,999)</x:f>
        <x:v>999</x:v>
      </x:c>
      <x:c r="M31" s="15" t="n">
        <x:f>IF(AND(M$5&gt;'假设'!$D$25,M29&gt;=0),M$5,999)</x:f>
        <x:v>999</x:v>
      </x:c>
      <x:c r="N31" s="15" t="n">
        <x:f>IF(AND(N$5&gt;'假设'!$D$25,N29&gt;=0),N$5,999)</x:f>
        <x:v>999</x:v>
      </x:c>
      <x:c r="O31" s="15" t="n">
        <x:f>IF(AND(O$5&gt;'假设'!$D$25,O29&gt;=0),O$5,999)</x:f>
        <x:v>999</x:v>
      </x:c>
      <x:c r="P31" s="15" t="n">
        <x:f>IF(AND(P$5&gt;'假设'!$D$25,P29&gt;=0),P$5,999)</x:f>
        <x:v>999</x:v>
      </x:c>
      <x:c r="Q31" s="15" t="n">
        <x:f>IF(AND(Q$5&gt;'假设'!$D$25,Q29&gt;=0),Q$5,999)</x:f>
        <x:v>999</x:v>
      </x:c>
      <x:c r="R31" s="15" t="n">
        <x:f>IF(AND(R$5&gt;'假设'!$D$25,R29&gt;=0),R$5,999)</x:f>
        <x:v>999</x:v>
      </x:c>
      <x:c r="S31" s="15" t="n">
        <x:f>IF(AND(S$5&gt;'假设'!$D$25,S29&gt;=0),S$5,999)</x:f>
        <x:v>999</x:v>
      </x:c>
      <x:c r="T31" s="15" t="n">
        <x:f>IF(AND(T$5&gt;'假设'!$D$25,T29&gt;=0),T$5,999)</x:f>
        <x:v>999</x:v>
      </x:c>
      <x:c r="U31" s="15" t="n">
        <x:f>IF(AND(U$5&gt;'假设'!$D$25,U29&gt;=0),U$5,999)</x:f>
        <x:v>999</x:v>
      </x:c>
      <x:c r="V31" s="15" t="n">
        <x:f>IF(AND(V$5&gt;'假设'!$D$25,V29&gt;=0),V$5,999)</x:f>
        <x:v>999</x:v>
      </x:c>
      <x:c r="W31" s="15" t="n">
        <x:f>IF(AND(W$5&gt;'假设'!$D$25,W29&gt;=0),W$5,999)</x:f>
        <x:v>999</x:v>
      </x:c>
      <x:c r="X31" s="15" t="n">
        <x:f>IF(AND(X$5&gt;'假设'!$D$25,X29&gt;=0),X$5,999)</x:f>
        <x:v>999</x:v>
      </x:c>
      <x:c r="Y31" s="15" t="n">
        <x:f>IF(AND(Y$5&gt;'假设'!$D$25,Y29&gt;=0),Y$5,999)</x:f>
        <x:v>999</x:v>
      </x:c>
      <x:c r="Z31" s="15" t="n">
        <x:f>IF(AND(Z$5&gt;'假设'!$D$25,Z29&gt;=0),Z$5,999)</x:f>
        <x:v>999</x:v>
      </x:c>
      <x:c r="AA31" s="15" t="n">
        <x:f>IF(AND(AA$5&gt;'假设'!$D$25,AA29&gt;=0),AA$5,999)</x:f>
        <x:v>999</x:v>
      </x:c>
      <x:c r="AB31" s="15" t="n">
        <x:f>IF(AND(AB$5&gt;'假设'!$D$25,AB29&gt;=0),AB$5,999)</x:f>
        <x:v>25</x:v>
      </x:c>
      <x:c r="AC31" s="15" t="n">
        <x:f>IF(AND(AC$5&gt;'假设'!$D$25,AC29&gt;=0),AC$5,999)</x:f>
        <x:v>26</x:v>
      </x:c>
      <x:c r="AD31" s="15" t="n">
        <x:f>IF(AND(AD$5&gt;'假设'!$D$25,AD29&gt;=0),AD$5,999)</x:f>
        <x:v>27</x:v>
      </x:c>
      <x:c r="AE31" s="15" t="n">
        <x:f>IF(AND(AE$5&gt;'假设'!$D$25,AE29&gt;=0),AE$5,999)</x:f>
        <x:v>28</x:v>
      </x:c>
      <x:c r="AF31" s="15" t="n">
        <x:f>IF(AND(AF$5&gt;'假设'!$D$25,AF29&gt;=0),AF$5,999)</x:f>
        <x:v>29</x:v>
      </x:c>
      <x:c r="AG31" s="15" t="n">
        <x:f>IF(AND(AG$5&gt;'假设'!$D$25,AG29&gt;=0),AG$5,999)</x:f>
        <x:v>30</x:v>
      </x:c>
      <x:c r="AH31" s="15" t="n">
        <x:f>IF(AND(AH$5&gt;'假设'!$D$25,AH29&gt;=0),AH$5,999)</x:f>
        <x:v>31</x:v>
      </x:c>
      <x:c r="AI31" s="15" t="n">
        <x:f>IF(AND(AI$5&gt;'假设'!$D$25,AI29&gt;=0),AI$5,999)</x:f>
        <x:v>32</x:v>
      </x:c>
      <x:c r="AJ31" s="15" t="n">
        <x:f>IF(AND(AJ$5&gt;'假设'!$D$25,AJ29&gt;=0),AJ$5,999)</x:f>
        <x:v>33</x:v>
      </x:c>
      <x:c r="AK31" s="15" t="n">
        <x:f>IF(AND(AK$5&gt;'假设'!$D$25,AK29&gt;=0),AK$5,999)</x:f>
        <x:v>34</x:v>
      </x:c>
      <x:c r="AL31" s="15" t="n">
        <x:f>IF(AND(AL$5&gt;'假设'!$D$25,AL29&gt;=0),AL$5,999)</x:f>
        <x:v>35</x:v>
      </x:c>
      <x:c r="AM31" s="15" t="n">
        <x:f>IF(AND(AM$5&gt;'假设'!$D$25,AM29&gt;=0),AM$5,999)</x:f>
        <x:v>36</x:v>
      </x:c>
      <x:c r="AN31" s="3"/>
    </x:row>
    <x:row r="32" ht="24" customHeight="1">
      <x:c r="A32" s="1"/>
      <x:c r="B32" s="1"/>
      <x:c r="C32" s="1" t="str">
        <x:v>单月经营不亏标记</x:v>
      </x:c>
      <x:c r="D32" s="15" t="n">
        <x:f>IF(AND(D$5&gt;'假设'!$D$25,D24&gt;=0),D$5,999)</x:f>
        <x:v>999</x:v>
      </x:c>
      <x:c r="E32" s="15" t="n">
        <x:f>IF(AND(E$5&gt;'假设'!$D$25,E24&gt;=0),E$5,999)</x:f>
        <x:v>999</x:v>
      </x:c>
      <x:c r="F32" s="15" t="n">
        <x:f>IF(AND(F$5&gt;'假设'!$D$25,F24&gt;=0),F$5,999)</x:f>
        <x:v>999</x:v>
      </x:c>
      <x:c r="G32" s="15" t="n">
        <x:f>IF(AND(G$5&gt;'假设'!$D$25,G24&gt;=0),G$5,999)</x:f>
        <x:v>999</x:v>
      </x:c>
      <x:c r="H32" s="15" t="n">
        <x:f>IF(AND(H$5&gt;'假设'!$D$25,H24&gt;=0),H$5,999)</x:f>
        <x:v>999</x:v>
      </x:c>
      <x:c r="I32" s="15" t="n">
        <x:f>IF(AND(I$5&gt;'假设'!$D$25,I24&gt;=0),I$5,999)</x:f>
        <x:v>999</x:v>
      </x:c>
      <x:c r="J32" s="15" t="n">
        <x:f>IF(AND(J$5&gt;'假设'!$D$25,J24&gt;=0),J$5,999)</x:f>
        <x:v>999</x:v>
      </x:c>
      <x:c r="K32" s="15" t="n">
        <x:f>IF(AND(K$5&gt;'假设'!$D$25,K24&gt;=0),K$5,999)</x:f>
        <x:v>999</x:v>
      </x:c>
      <x:c r="L32" s="15" t="n">
        <x:f>IF(AND(L$5&gt;'假设'!$D$25,L24&gt;=0),L$5,999)</x:f>
        <x:v>999</x:v>
      </x:c>
      <x:c r="M32" s="15" t="n">
        <x:f>IF(AND(M$5&gt;'假设'!$D$25,M24&gt;=0),M$5,999)</x:f>
        <x:v>10</x:v>
      </x:c>
      <x:c r="N32" s="15" t="n">
        <x:f>IF(AND(N$5&gt;'假设'!$D$25,N24&gt;=0),N$5,999)</x:f>
        <x:v>11</x:v>
      </x:c>
      <x:c r="O32" s="15" t="n">
        <x:f>IF(AND(O$5&gt;'假设'!$D$25,O24&gt;=0),O$5,999)</x:f>
        <x:v>12</x:v>
      </x:c>
      <x:c r="P32" s="15" t="n">
        <x:f>IF(AND(P$5&gt;'假设'!$D$25,P24&gt;=0),P$5,999)</x:f>
        <x:v>13</x:v>
      </x:c>
      <x:c r="Q32" s="15" t="n">
        <x:f>IF(AND(Q$5&gt;'假设'!$D$25,Q24&gt;=0),Q$5,999)</x:f>
        <x:v>14</x:v>
      </x:c>
      <x:c r="R32" s="15" t="n">
        <x:f>IF(AND(R$5&gt;'假设'!$D$25,R24&gt;=0),R$5,999)</x:f>
        <x:v>15</x:v>
      </x:c>
      <x:c r="S32" s="15" t="n">
        <x:f>IF(AND(S$5&gt;'假设'!$D$25,S24&gt;=0),S$5,999)</x:f>
        <x:v>16</x:v>
      </x:c>
      <x:c r="T32" s="15" t="n">
        <x:f>IF(AND(T$5&gt;'假设'!$D$25,T24&gt;=0),T$5,999)</x:f>
        <x:v>17</x:v>
      </x:c>
      <x:c r="U32" s="15" t="n">
        <x:f>IF(AND(U$5&gt;'假设'!$D$25,U24&gt;=0),U$5,999)</x:f>
        <x:v>18</x:v>
      </x:c>
      <x:c r="V32" s="15" t="n">
        <x:f>IF(AND(V$5&gt;'假设'!$D$25,V24&gt;=0),V$5,999)</x:f>
        <x:v>19</x:v>
      </x:c>
      <x:c r="W32" s="15" t="n">
        <x:f>IF(AND(W$5&gt;'假设'!$D$25,W24&gt;=0),W$5,999)</x:f>
        <x:v>20</x:v>
      </x:c>
      <x:c r="X32" s="15" t="n">
        <x:f>IF(AND(X$5&gt;'假设'!$D$25,X24&gt;=0),X$5,999)</x:f>
        <x:v>21</x:v>
      </x:c>
      <x:c r="Y32" s="15" t="n">
        <x:f>IF(AND(Y$5&gt;'假设'!$D$25,Y24&gt;=0),Y$5,999)</x:f>
        <x:v>22</x:v>
      </x:c>
      <x:c r="Z32" s="15" t="n">
        <x:f>IF(AND(Z$5&gt;'假设'!$D$25,Z24&gt;=0),Z$5,999)</x:f>
        <x:v>23</x:v>
      </x:c>
      <x:c r="AA32" s="15" t="n">
        <x:f>IF(AND(AA$5&gt;'假设'!$D$25,AA24&gt;=0),AA$5,999)</x:f>
        <x:v>24</x:v>
      </x:c>
      <x:c r="AB32" s="15" t="n">
        <x:f>IF(AND(AB$5&gt;'假设'!$D$25,AB24&gt;=0),AB$5,999)</x:f>
        <x:v>25</x:v>
      </x:c>
      <x:c r="AC32" s="15" t="n">
        <x:f>IF(AND(AC$5&gt;'假设'!$D$25,AC24&gt;=0),AC$5,999)</x:f>
        <x:v>26</x:v>
      </x:c>
      <x:c r="AD32" s="15" t="n">
        <x:f>IF(AND(AD$5&gt;'假设'!$D$25,AD24&gt;=0),AD$5,999)</x:f>
        <x:v>27</x:v>
      </x:c>
      <x:c r="AE32" s="15" t="n">
        <x:f>IF(AND(AE$5&gt;'假设'!$D$25,AE24&gt;=0),AE$5,999)</x:f>
        <x:v>28</x:v>
      </x:c>
      <x:c r="AF32" s="15" t="n">
        <x:f>IF(AND(AF$5&gt;'假设'!$D$25,AF24&gt;=0),AF$5,999)</x:f>
        <x:v>29</x:v>
      </x:c>
      <x:c r="AG32" s="15" t="n">
        <x:f>IF(AND(AG$5&gt;'假设'!$D$25,AG24&gt;=0),AG$5,999)</x:f>
        <x:v>30</x:v>
      </x:c>
      <x:c r="AH32" s="15" t="n">
        <x:f>IF(AND(AH$5&gt;'假设'!$D$25,AH24&gt;=0),AH$5,999)</x:f>
        <x:v>31</x:v>
      </x:c>
      <x:c r="AI32" s="15" t="n">
        <x:f>IF(AND(AI$5&gt;'假设'!$D$25,AI24&gt;=0),AI$5,999)</x:f>
        <x:v>32</x:v>
      </x:c>
      <x:c r="AJ32" s="15" t="n">
        <x:f>IF(AND(AJ$5&gt;'假设'!$D$25,AJ24&gt;=0),AJ$5,999)</x:f>
        <x:v>33</x:v>
      </x:c>
      <x:c r="AK32" s="15" t="n">
        <x:f>IF(AND(AK$5&gt;'假设'!$D$25,AK24&gt;=0),AK$5,999)</x:f>
        <x:v>34</x:v>
      </x:c>
      <x:c r="AL32" s="15" t="n">
        <x:f>IF(AND(AL$5&gt;'假设'!$D$25,AL24&gt;=0),AL$5,999)</x:f>
        <x:v>35</x:v>
      </x:c>
      <x:c r="AM32" s="15" t="n">
        <x:f>IF(AND(AM$5&gt;'假设'!$D$25,AM24&gt;=0),AM$5,999)</x:f>
        <x:v>36</x:v>
      </x:c>
      <x:c r="AN32" s="3"/>
    </x:row>
    <x:row r="33" ht="24" customHeight="1">
      <x:c r="A33" s="1"/>
      <x:c r="B33" s="1"/>
      <x:c r="C33" s="1" t="str">
        <x:v>当月服务费现金收款</x:v>
      </x:c>
      <x:c r="D33" s="15" t="n">
        <x:f>IF('假设'!$D$52=0,D14,0)</x:f>
        <x:v>0</x:v>
      </x:c>
      <x:c r="E33" s="15" t="n">
        <x:f>IF('假设'!$D$52=0,E14,D14)</x:f>
        <x:v>0</x:v>
      </x:c>
      <x:c r="F33" s="15" t="n">
        <x:f>IF('假设'!$D$52=0,F14,E14)</x:f>
        <x:v>0</x:v>
      </x:c>
      <x:c r="G33" s="15" t="n">
        <x:f>IF('假设'!$D$52=0,G14,F14)</x:f>
        <x:v>0</x:v>
      </x:c>
      <x:c r="H33" s="15" t="n">
        <x:f>IF('假设'!$D$52=0,H14,G14)</x:f>
        <x:v>12000</x:v>
      </x:c>
      <x:c r="I33" s="15" t="n">
        <x:f>IF('假设'!$D$52=0,I14,H14)</x:f>
        <x:v>18000</x:v>
      </x:c>
      <x:c r="J33" s="15" t="n">
        <x:f>IF('假设'!$D$52=0,J14,I14)</x:f>
        <x:v>24000</x:v>
      </x:c>
      <x:c r="K33" s="15" t="n">
        <x:f>IF('假设'!$D$52=0,K14,J14)</x:f>
        <x:v>30000</x:v>
      </x:c>
      <x:c r="L33" s="15" t="n">
        <x:f>IF('假设'!$D$52=0,L14,K14)</x:f>
        <x:v>36000</x:v>
      </x:c>
      <x:c r="M33" s="15" t="n">
        <x:f>IF('假设'!$D$52=0,M14,L14)</x:f>
        <x:v>42000</x:v>
      </x:c>
      <x:c r="N33" s="15" t="n">
        <x:f>IF('假设'!$D$52=0,N14,M14)</x:f>
        <x:v>48000</x:v>
      </x:c>
      <x:c r="O33" s="15" t="n">
        <x:f>IF('假设'!$D$52=0,O14,N14)</x:f>
        <x:v>54000</x:v>
      </x:c>
      <x:c r="P33" s="15" t="n">
        <x:f>IF('假设'!$D$52=0,P14,O14)</x:f>
        <x:v>60000</x:v>
      </x:c>
      <x:c r="Q33" s="15" t="n">
        <x:f>IF('假设'!$D$52=0,Q14,P14)</x:f>
        <x:v>66000</x:v>
      </x:c>
      <x:c r="R33" s="15" t="n">
        <x:f>IF('假设'!$D$52=0,R14,Q14)</x:f>
        <x:v>72000</x:v>
      </x:c>
      <x:c r="S33" s="15" t="n">
        <x:f>IF('假设'!$D$52=0,S14,R14)</x:f>
        <x:v>78000</x:v>
      </x:c>
      <x:c r="T33" s="15" t="n">
        <x:f>IF('假设'!$D$52=0,T14,S14)</x:f>
        <x:v>84000</x:v>
      </x:c>
      <x:c r="U33" s="15" t="n">
        <x:f>IF('假设'!$D$52=0,U14,T14)</x:f>
        <x:v>90000</x:v>
      </x:c>
      <x:c r="V33" s="15" t="n">
        <x:f>IF('假设'!$D$52=0,V14,U14)</x:f>
        <x:v>96000</x:v>
      </x:c>
      <x:c r="W33" s="15" t="n">
        <x:f>IF('假设'!$D$52=0,W14,V14)</x:f>
        <x:v>102000</x:v>
      </x:c>
      <x:c r="X33" s="15" t="n">
        <x:f>IF('假设'!$D$52=0,X14,W14)</x:f>
        <x:v>108000</x:v>
      </x:c>
      <x:c r="Y33" s="15" t="n">
        <x:f>IF('假设'!$D$52=0,Y14,X14)</x:f>
        <x:v>114000</x:v>
      </x:c>
      <x:c r="Z33" s="15" t="n">
        <x:f>IF('假设'!$D$52=0,Z14,Y14)</x:f>
        <x:v>120000</x:v>
      </x:c>
      <x:c r="AA33" s="15" t="n">
        <x:f>IF('假设'!$D$52=0,AA14,Z14)</x:f>
        <x:v>126000</x:v>
      </x:c>
      <x:c r="AB33" s="15" t="n">
        <x:f>IF('假设'!$D$52=0,AB14,AA14)</x:f>
        <x:v>132000</x:v>
      </x:c>
      <x:c r="AC33" s="15" t="n">
        <x:f>IF('假设'!$D$52=0,AC14,AB14)</x:f>
        <x:v>138000</x:v>
      </x:c>
      <x:c r="AD33" s="15" t="n">
        <x:f>IF('假设'!$D$52=0,AD14,AC14)</x:f>
        <x:v>144000</x:v>
      </x:c>
      <x:c r="AE33" s="15" t="n">
        <x:f>IF('假设'!$D$52=0,AE14,AD14)</x:f>
        <x:v>150000</x:v>
      </x:c>
      <x:c r="AF33" s="15" t="n">
        <x:f>IF('假设'!$D$52=0,AF14,AE14)</x:f>
        <x:v>150000</x:v>
      </x:c>
      <x:c r="AG33" s="15" t="n">
        <x:f>IF('假设'!$D$52=0,AG14,AF14)</x:f>
        <x:v>150000</x:v>
      </x:c>
      <x:c r="AH33" s="15" t="n">
        <x:f>IF('假设'!$D$52=0,AH14,AG14)</x:f>
        <x:v>150000</x:v>
      </x:c>
      <x:c r="AI33" s="15" t="n">
        <x:f>IF('假设'!$D$52=0,AI14,AH14)</x:f>
        <x:v>150000</x:v>
      </x:c>
      <x:c r="AJ33" s="15" t="n">
        <x:f>IF('假设'!$D$52=0,AJ14,AI14)</x:f>
        <x:v>150000</x:v>
      </x:c>
      <x:c r="AK33" s="15" t="n">
        <x:f>IF('假设'!$D$52=0,AK14,AJ14)</x:f>
        <x:v>150000</x:v>
      </x:c>
      <x:c r="AL33" s="15" t="n">
        <x:f>IF('假设'!$D$52=0,AL14,AK14)</x:f>
        <x:v>150000</x:v>
      </x:c>
      <x:c r="AM33" s="15" t="n">
        <x:f>IF('假设'!$D$52=0,AM14,AL14)</x:f>
        <x:v>150000</x:v>
      </x:c>
      <x:c r="AN33" s="3"/>
    </x:row>
    <x:row r="34" ht="24" customHeight="1">
      <x:c r="A34" s="1"/>
      <x:c r="B34" s="1"/>
      <x:c r="C34" s="1" t="str">
        <x:v>期末服务费应收款</x:v>
      </x:c>
      <x:c r="D34" s="2" t="n">
        <x:f>D14-D33</x:f>
        <x:v>0</x:v>
      </x:c>
      <x:c r="E34" s="2" t="n">
        <x:f>D34+E14-E33</x:f>
        <x:v>0</x:v>
      </x:c>
      <x:c r="F34" s="2" t="n">
        <x:f>E34+F14-F33</x:f>
        <x:v>0</x:v>
      </x:c>
      <x:c r="G34" s="2" t="n">
        <x:f>F34+G14-G33</x:f>
        <x:v>0</x:v>
      </x:c>
      <x:c r="H34" s="2" t="n">
        <x:f>G34+H14-H33</x:f>
        <x:v>0</x:v>
      </x:c>
      <x:c r="I34" s="2" t="n">
        <x:f>H34+I14-I33</x:f>
        <x:v>0</x:v>
      </x:c>
      <x:c r="J34" s="2" t="n">
        <x:f>I34+J14-J33</x:f>
        <x:v>0</x:v>
      </x:c>
      <x:c r="K34" s="2" t="n">
        <x:f>J34+K14-K33</x:f>
        <x:v>0</x:v>
      </x:c>
      <x:c r="L34" s="2" t="n">
        <x:f>K34+L14-L33</x:f>
        <x:v>0</x:v>
      </x:c>
      <x:c r="M34" s="2" t="n">
        <x:f>L34+M14-M33</x:f>
        <x:v>0</x:v>
      </x:c>
      <x:c r="N34" s="2" t="n">
        <x:f>M34+N14-N33</x:f>
        <x:v>0</x:v>
      </x:c>
      <x:c r="O34" s="2" t="n">
        <x:f>N34+O14-O33</x:f>
        <x:v>0</x:v>
      </x:c>
      <x:c r="P34" s="2" t="n">
        <x:f>O34+P14-P33</x:f>
        <x:v>0</x:v>
      </x:c>
      <x:c r="Q34" s="2" t="n">
        <x:f>P34+Q14-Q33</x:f>
        <x:v>0</x:v>
      </x:c>
      <x:c r="R34" s="2" t="n">
        <x:f>Q34+R14-R33</x:f>
        <x:v>0</x:v>
      </x:c>
      <x:c r="S34" s="2" t="n">
        <x:f>R34+S14-S33</x:f>
        <x:v>0</x:v>
      </x:c>
      <x:c r="T34" s="2" t="n">
        <x:f>S34+T14-T33</x:f>
        <x:v>0</x:v>
      </x:c>
      <x:c r="U34" s="2" t="n">
        <x:f>T34+U14-U33</x:f>
        <x:v>0</x:v>
      </x:c>
      <x:c r="V34" s="2" t="n">
        <x:f>U34+V14-V33</x:f>
        <x:v>0</x:v>
      </x:c>
      <x:c r="W34" s="2" t="n">
        <x:f>V34+W14-W33</x:f>
        <x:v>0</x:v>
      </x:c>
      <x:c r="X34" s="2" t="n">
        <x:f>W34+X14-X33</x:f>
        <x:v>0</x:v>
      </x:c>
      <x:c r="Y34" s="2" t="n">
        <x:f>X34+Y14-Y33</x:f>
        <x:v>0</x:v>
      </x:c>
      <x:c r="Z34" s="2" t="n">
        <x:f>Y34+Z14-Z33</x:f>
        <x:v>0</x:v>
      </x:c>
      <x:c r="AA34" s="2" t="n">
        <x:f>Z34+AA14-AA33</x:f>
        <x:v>0</x:v>
      </x:c>
      <x:c r="AB34" s="2" t="n">
        <x:f>AA34+AB14-AB33</x:f>
        <x:v>0</x:v>
      </x:c>
      <x:c r="AC34" s="2" t="n">
        <x:f>AB34+AC14-AC33</x:f>
        <x:v>0</x:v>
      </x:c>
      <x:c r="AD34" s="2" t="n">
        <x:f>AC34+AD14-AD33</x:f>
        <x:v>0</x:v>
      </x:c>
      <x:c r="AE34" s="2" t="n">
        <x:f>AD34+AE14-AE33</x:f>
        <x:v>0</x:v>
      </x:c>
      <x:c r="AF34" s="2" t="n">
        <x:f>AE34+AF14-AF33</x:f>
        <x:v>0</x:v>
      </x:c>
      <x:c r="AG34" s="2" t="n">
        <x:f>AF34+AG14-AG33</x:f>
        <x:v>0</x:v>
      </x:c>
      <x:c r="AH34" s="2" t="n">
        <x:f>AG34+AH14-AH33</x:f>
        <x:v>0</x:v>
      </x:c>
      <x:c r="AI34" s="2" t="n">
        <x:f>AH34+AI14-AI33</x:f>
        <x:v>0</x:v>
      </x:c>
      <x:c r="AJ34" s="2" t="n">
        <x:f>AI34+AJ14-AJ33</x:f>
        <x:v>0</x:v>
      </x:c>
      <x:c r="AK34" s="2" t="n">
        <x:f>AJ34+AK14-AK33</x:f>
        <x:v>0</x:v>
      </x:c>
      <x:c r="AL34" s="2" t="n">
        <x:f>AK34+AL14-AL33</x:f>
        <x:v>0</x:v>
      </x:c>
      <x:c r="AM34" s="2" t="n">
        <x:f>AL34+AM14-AM33</x:f>
        <x:v>0</x:v>
      </x:c>
      <x:c r="AN34" s="3"/>
    </x:row>
    <x:row r="35" ht="24" customHeight="1">
      <x:c r="A35" s="1"/>
      <x:c r="B35" s="1"/>
      <x:c r="C35" s="12" t="str">
        <x:v>M5首批获客已计入启动池；M6起新增/替补品牌另付CAC。当月获得品牌当月即完成全部活动。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3"/>
    </x:row>
    <x:row r="36" ht="24" customHeight="1">
      <x:c r="A36" s="1"/>
      <x:c r="B36" s="1"/>
      <x:c r="C36" s="12" t="str">
        <x:v>现金流已含0/1月服务费收款延迟；未计税、利息及其余营运资金；不作税后净利。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3"/>
    </x:row>
    <x:row r="37" ht="24" customHeight="1">
      <x:c r="A37" s="1"/>
      <x:c r="B37" s="1"/>
      <x:c r="C37" s="12" t="str">
        <x:v>固定费用不随规模增长仅为情景假设；扩张需另验容量、招聘、数据吞吐及报价。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3"/>
    </x:row>
    <x:row r="38" ht="24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3"/>
    </x:row>
    <x:row r="39" ht="24" customHeight="1">
      <x:c r="A39" s="1"/>
      <x:c r="B39" s="1"/>
      <x:c r="C39" s="1" t="str">
        <x:v>支付费敏感性：全品牌资金费率</x:v>
      </x:c>
      <x:c r="D39" s="16" t="n">
        <x:f>'假设'!$D$50</x:f>
        <x:v>0.03</x:v>
      </x:c>
      <x:c r="E39" s="16" t="n">
        <x:f>'假设'!$D$50</x:f>
        <x:v>0.03</x:v>
      </x:c>
      <x:c r="F39" s="16" t="n">
        <x:f>'假设'!$D$50</x:f>
        <x:v>0.03</x:v>
      </x:c>
      <x:c r="G39" s="16" t="n">
        <x:f>'假设'!$D$50</x:f>
        <x:v>0.03</x:v>
      </x:c>
      <x:c r="H39" s="16" t="n">
        <x:f>'假设'!$D$50</x:f>
        <x:v>0.03</x:v>
      </x:c>
      <x:c r="I39" s="16" t="n">
        <x:f>'假设'!$D$50</x:f>
        <x:v>0.03</x:v>
      </x:c>
      <x:c r="J39" s="16" t="n">
        <x:f>'假设'!$D$50</x:f>
        <x:v>0.03</x:v>
      </x:c>
      <x:c r="K39" s="16" t="n">
        <x:f>'假设'!$D$50</x:f>
        <x:v>0.03</x:v>
      </x:c>
      <x:c r="L39" s="16" t="n">
        <x:f>'假设'!$D$50</x:f>
        <x:v>0.03</x:v>
      </x:c>
      <x:c r="M39" s="16" t="n">
        <x:f>'假设'!$D$50</x:f>
        <x:v>0.03</x:v>
      </x:c>
      <x:c r="N39" s="16" t="n">
        <x:f>'假设'!$D$50</x:f>
        <x:v>0.03</x:v>
      </x:c>
      <x:c r="O39" s="16" t="n">
        <x:f>'假设'!$D$50</x:f>
        <x:v>0.03</x:v>
      </x:c>
      <x:c r="P39" s="16" t="n">
        <x:f>'假设'!$D$50</x:f>
        <x:v>0.03</x:v>
      </x:c>
      <x:c r="Q39" s="16" t="n">
        <x:f>'假设'!$D$50</x:f>
        <x:v>0.03</x:v>
      </x:c>
      <x:c r="R39" s="16" t="n">
        <x:f>'假设'!$D$50</x:f>
        <x:v>0.03</x:v>
      </x:c>
      <x:c r="S39" s="16" t="n">
        <x:f>'假设'!$D$50</x:f>
        <x:v>0.03</x:v>
      </x:c>
      <x:c r="T39" s="16" t="n">
        <x:f>'假设'!$D$50</x:f>
        <x:v>0.03</x:v>
      </x:c>
      <x:c r="U39" s="16" t="n">
        <x:f>'假设'!$D$50</x:f>
        <x:v>0.03</x:v>
      </x:c>
      <x:c r="V39" s="16" t="n">
        <x:f>'假设'!$D$50</x:f>
        <x:v>0.03</x:v>
      </x:c>
      <x:c r="W39" s="16" t="n">
        <x:f>'假设'!$D$50</x:f>
        <x:v>0.03</x:v>
      </x:c>
      <x:c r="X39" s="16" t="n">
        <x:f>'假设'!$D$50</x:f>
        <x:v>0.03</x:v>
      </x:c>
      <x:c r="Y39" s="16" t="n">
        <x:f>'假设'!$D$50</x:f>
        <x:v>0.03</x:v>
      </x:c>
      <x:c r="Z39" s="16" t="n">
        <x:f>'假设'!$D$50</x:f>
        <x:v>0.03</x:v>
      </x:c>
      <x:c r="AA39" s="16" t="n">
        <x:f>'假设'!$D$50</x:f>
        <x:v>0.03</x:v>
      </x:c>
      <x:c r="AB39" s="16" t="n">
        <x:f>'假设'!$D$50</x:f>
        <x:v>0.03</x:v>
      </x:c>
      <x:c r="AC39" s="16" t="n">
        <x:f>'假设'!$D$50</x:f>
        <x:v>0.03</x:v>
      </x:c>
      <x:c r="AD39" s="16" t="n">
        <x:f>'假设'!$D$50</x:f>
        <x:v>0.03</x:v>
      </x:c>
      <x:c r="AE39" s="16" t="n">
        <x:f>'假设'!$D$50</x:f>
        <x:v>0.03</x:v>
      </x:c>
      <x:c r="AF39" s="16" t="n">
        <x:f>'假设'!$D$50</x:f>
        <x:v>0.03</x:v>
      </x:c>
      <x:c r="AG39" s="16" t="n">
        <x:f>'假设'!$D$50</x:f>
        <x:v>0.03</x:v>
      </x:c>
      <x:c r="AH39" s="16" t="n">
        <x:f>'假设'!$D$50</x:f>
        <x:v>0.03</x:v>
      </x:c>
      <x:c r="AI39" s="16" t="n">
        <x:f>'假设'!$D$50</x:f>
        <x:v>0.03</x:v>
      </x:c>
      <x:c r="AJ39" s="16" t="n">
        <x:f>'假设'!$D$50</x:f>
        <x:v>0.03</x:v>
      </x:c>
      <x:c r="AK39" s="16" t="n">
        <x:f>'假设'!$D$50</x:f>
        <x:v>0.03</x:v>
      </x:c>
      <x:c r="AL39" s="16" t="n">
        <x:f>'假设'!$D$50</x:f>
        <x:v>0.03</x:v>
      </x:c>
      <x:c r="AM39" s="16" t="n">
        <x:f>'假设'!$D$50</x:f>
        <x:v>0.03</x:v>
      </x:c>
      <x:c r="AN39" s="3"/>
    </x:row>
    <x:row r="40" ht="24" customHeight="1">
      <x:c r="A40" s="1"/>
      <x:c r="B40" s="1"/>
      <x:c r="C40" s="1" t="str">
        <x:v>敏感性现金流（同收款账期）</x:v>
      </x:c>
      <x:c r="D40" s="15" t="n">
        <x:f>D28-('单位经济'!$D$7*D39+'假设'!$D$51-'假设'!$D$11)*D6</x:f>
        <x:v>-59437.5</x:v>
      </x:c>
      <x:c r="E40" s="15" t="n">
        <x:f>E28-('单位经济'!$D$7*E39+'假设'!$D$51-'假设'!$D$11)*E6</x:f>
        <x:v>-59437.5</x:v>
      </x:c>
      <x:c r="F40" s="15" t="n">
        <x:f>F28-('单位经济'!$D$7*F39+'假设'!$D$51-'假设'!$D$11)*F6</x:f>
        <x:v>-59437.5</x:v>
      </x:c>
      <x:c r="G40" s="15" t="n">
        <x:f>G28-('单位经济'!$D$7*G39+'假设'!$D$51-'假设'!$D$11)*G6</x:f>
        <x:v>-59437.5</x:v>
      </x:c>
      <x:c r="H40" s="15" t="n">
        <x:f>H28-('单位经济'!$D$7*H39+'假设'!$D$51-'假设'!$D$11)*H6</x:f>
        <x:v>-62560</x:v>
      </x:c>
      <x:c r="I40" s="15" t="n">
        <x:f>I28-('单位经济'!$D$7*I39+'假设'!$D$51-'假设'!$D$11)*I6</x:f>
        <x:v>-13640</x:v>
      </x:c>
      <x:c r="J40" s="15" t="n">
        <x:f>J28-('单位经济'!$D$7*J39+'假设'!$D$51-'假设'!$D$11)*J6</x:f>
        <x:v>-11570</x:v>
      </x:c>
      <x:c r="K40" s="15" t="n">
        <x:f>K28-('单位经济'!$D$7*K39+'假设'!$D$51-'假设'!$D$11)*K6</x:f>
        <x:v>-9500</x:v>
      </x:c>
      <x:c r="L40" s="15" t="n">
        <x:f>L28-('单位经济'!$D$7*L39+'假设'!$D$51-'假设'!$D$11)*L6</x:f>
        <x:v>-7430</x:v>
      </x:c>
      <x:c r="M40" s="15" t="n">
        <x:f>M28-('单位经济'!$D$7*M39+'假设'!$D$51-'假设'!$D$11)*M6</x:f>
        <x:v>-5360</x:v>
      </x:c>
      <x:c r="N40" s="15" t="n">
        <x:f>N28-('单位经济'!$D$7*N39+'假设'!$D$51-'假设'!$D$11)*N6</x:f>
        <x:v>-3290</x:v>
      </x:c>
      <x:c r="O40" s="15" t="n">
        <x:f>O28-('单位经济'!$D$7*O39+'假设'!$D$51-'假设'!$D$11)*O6</x:f>
        <x:v>-1220</x:v>
      </x:c>
      <x:c r="P40" s="15" t="n">
        <x:f>P28-('单位经济'!$D$7*P39+'假设'!$D$51-'假设'!$D$11)*P6</x:f>
        <x:v>850</x:v>
      </x:c>
      <x:c r="Q40" s="15" t="n">
        <x:f>Q28-('单位经济'!$D$7*Q39+'假设'!$D$51-'假设'!$D$11)*Q6</x:f>
        <x:v>2920</x:v>
      </x:c>
      <x:c r="R40" s="15" t="n">
        <x:f>R28-('单位经济'!$D$7*R39+'假设'!$D$51-'假设'!$D$11)*R6</x:f>
        <x:v>4990</x:v>
      </x:c>
      <x:c r="S40" s="15" t="n">
        <x:f>S28-('单位经济'!$D$7*S39+'假设'!$D$51-'假设'!$D$11)*S6</x:f>
        <x:v>7060</x:v>
      </x:c>
      <x:c r="T40" s="15" t="n">
        <x:f>T28-('单位经济'!$D$7*T39+'假设'!$D$51-'假设'!$D$11)*T6</x:f>
        <x:v>9130</x:v>
      </x:c>
      <x:c r="U40" s="15" t="n">
        <x:f>U28-('单位经济'!$D$7*U39+'假设'!$D$51-'假设'!$D$11)*U6</x:f>
        <x:v>11200</x:v>
      </x:c>
      <x:c r="V40" s="15" t="n">
        <x:f>V28-('单位经济'!$D$7*V39+'假设'!$D$51-'假设'!$D$11)*V6</x:f>
        <x:v>13270</x:v>
      </x:c>
      <x:c r="W40" s="15" t="n">
        <x:f>W28-('单位经济'!$D$7*W39+'假设'!$D$51-'假设'!$D$11)*W6</x:f>
        <x:v>15340</x:v>
      </x:c>
      <x:c r="X40" s="15" t="n">
        <x:f>X28-('单位经济'!$D$7*X39+'假设'!$D$51-'假设'!$D$11)*X6</x:f>
        <x:v>17410</x:v>
      </x:c>
      <x:c r="Y40" s="15" t="n">
        <x:f>Y28-('单位经济'!$D$7*Y39+'假设'!$D$51-'假设'!$D$11)*Y6</x:f>
        <x:v>19480</x:v>
      </x:c>
      <x:c r="Z40" s="15" t="n">
        <x:f>Z28-('单位经济'!$D$7*Z39+'假设'!$D$51-'假设'!$D$11)*Z6</x:f>
        <x:v>21550</x:v>
      </x:c>
      <x:c r="AA40" s="15" t="n">
        <x:f>AA28-('单位经济'!$D$7*AA39+'假设'!$D$51-'假设'!$D$11)*AA6</x:f>
        <x:v>23620</x:v>
      </x:c>
      <x:c r="AB40" s="15" t="n">
        <x:f>AB28-('单位经济'!$D$7*AB39+'假设'!$D$51-'假设'!$D$11)*AB6</x:f>
        <x:v>25690</x:v>
      </x:c>
      <x:c r="AC40" s="15" t="n">
        <x:f>AC28-('单位经济'!$D$7*AC39+'假设'!$D$51-'假设'!$D$11)*AC6</x:f>
        <x:v>27760</x:v>
      </x:c>
      <x:c r="AD40" s="15" t="n">
        <x:f>AD28-('单位经济'!$D$7*AD39+'假设'!$D$51-'假设'!$D$11)*AD6</x:f>
        <x:v>29830</x:v>
      </x:c>
      <x:c r="AE40" s="15" t="n">
        <x:f>AE28-('单位经济'!$D$7*AE39+'假设'!$D$51-'假设'!$D$11)*AE6</x:f>
        <x:v>31900</x:v>
      </x:c>
      <x:c r="AF40" s="15" t="n">
        <x:f>AF28-('单位经济'!$D$7*AF39+'假设'!$D$51-'假设'!$D$11)*AF6</x:f>
        <x:v>34750</x:v>
      </x:c>
      <x:c r="AG40" s="15" t="n">
        <x:f>AG28-('单位经济'!$D$7*AG39+'假设'!$D$51-'假设'!$D$11)*AG6</x:f>
        <x:v>34750</x:v>
      </x:c>
      <x:c r="AH40" s="15" t="n">
        <x:f>AH28-('单位经济'!$D$7*AH39+'假设'!$D$51-'假设'!$D$11)*AH6</x:f>
        <x:v>34750</x:v>
      </x:c>
      <x:c r="AI40" s="15" t="n">
        <x:f>AI28-('单位经济'!$D$7*AI39+'假设'!$D$51-'假设'!$D$11)*AI6</x:f>
        <x:v>34750</x:v>
      </x:c>
      <x:c r="AJ40" s="15" t="n">
        <x:f>AJ28-('单位经济'!$D$7*AJ39+'假设'!$D$51-'假设'!$D$11)*AJ6</x:f>
        <x:v>34750</x:v>
      </x:c>
      <x:c r="AK40" s="15" t="n">
        <x:f>AK28-('单位经济'!$D$7*AK39+'假设'!$D$51-'假设'!$D$11)*AK6</x:f>
        <x:v>34750</x:v>
      </x:c>
      <x:c r="AL40" s="15" t="n">
        <x:f>AL28-('单位经济'!$D$7*AL39+'假设'!$D$51-'假设'!$D$11)*AL6</x:f>
        <x:v>34750</x:v>
      </x:c>
      <x:c r="AM40" s="15" t="n">
        <x:f>AM28-('单位经济'!$D$7*AM39+'假设'!$D$51-'假设'!$D$11)*AM6</x:f>
        <x:v>34750</x:v>
      </x:c>
      <x:c r="AN40" s="3"/>
    </x:row>
    <x:row r="41" ht="24" customHeight="1">
      <x:c r="A41" s="1"/>
      <x:c r="B41" s="1"/>
      <x:c r="C41" s="1" t="str">
        <x:v>敏感性累计现金流</x:v>
      </x:c>
      <x:c r="D41" s="2" t="n">
        <x:f>D40</x:f>
        <x:v>-59437.5</x:v>
      </x:c>
      <x:c r="E41" s="2" t="n">
        <x:f>D41+E40</x:f>
        <x:v>-118875</x:v>
      </x:c>
      <x:c r="F41" s="2" t="n">
        <x:f>E41+F40</x:f>
        <x:v>-178312.5</x:v>
      </x:c>
      <x:c r="G41" s="2" t="n">
        <x:f>F41+G40</x:f>
        <x:v>-237750</x:v>
      </x:c>
      <x:c r="H41" s="2" t="n">
        <x:f>G41+H40</x:f>
        <x:v>-300310</x:v>
      </x:c>
      <x:c r="I41" s="2" t="n">
        <x:f>H41+I40</x:f>
        <x:v>-313950</x:v>
      </x:c>
      <x:c r="J41" s="2" t="n">
        <x:f>I41+J40</x:f>
        <x:v>-325520</x:v>
      </x:c>
      <x:c r="K41" s="2" t="n">
        <x:f>J41+K40</x:f>
        <x:v>-335020</x:v>
      </x:c>
      <x:c r="L41" s="2" t="n">
        <x:f>K41+L40</x:f>
        <x:v>-342450</x:v>
      </x:c>
      <x:c r="M41" s="2" t="n">
        <x:f>L41+M40</x:f>
        <x:v>-347810</x:v>
      </x:c>
      <x:c r="N41" s="2" t="n">
        <x:f>M41+N40</x:f>
        <x:v>-351100</x:v>
      </x:c>
      <x:c r="O41" s="2" t="n">
        <x:f>N41+O40</x:f>
        <x:v>-352320</x:v>
      </x:c>
      <x:c r="P41" s="2" t="n">
        <x:f>O41+P40</x:f>
        <x:v>-351470</x:v>
      </x:c>
      <x:c r="Q41" s="2" t="n">
        <x:f>P41+Q40</x:f>
        <x:v>-348550</x:v>
      </x:c>
      <x:c r="R41" s="2" t="n">
        <x:f>Q41+R40</x:f>
        <x:v>-343560</x:v>
      </x:c>
      <x:c r="S41" s="2" t="n">
        <x:f>R41+S40</x:f>
        <x:v>-336500</x:v>
      </x:c>
      <x:c r="T41" s="2" t="n">
        <x:f>S41+T40</x:f>
        <x:v>-327370</x:v>
      </x:c>
      <x:c r="U41" s="2" t="n">
        <x:f>T41+U40</x:f>
        <x:v>-316170</x:v>
      </x:c>
      <x:c r="V41" s="2" t="n">
        <x:f>U41+V40</x:f>
        <x:v>-302900</x:v>
      </x:c>
      <x:c r="W41" s="2" t="n">
        <x:f>V41+W40</x:f>
        <x:v>-287560</x:v>
      </x:c>
      <x:c r="X41" s="2" t="n">
        <x:f>W41+X40</x:f>
        <x:v>-270150</x:v>
      </x:c>
      <x:c r="Y41" s="2" t="n">
        <x:f>X41+Y40</x:f>
        <x:v>-250670</x:v>
      </x:c>
      <x:c r="Z41" s="2" t="n">
        <x:f>Y41+Z40</x:f>
        <x:v>-229120</x:v>
      </x:c>
      <x:c r="AA41" s="2" t="n">
        <x:f>Z41+AA40</x:f>
        <x:v>-205500</x:v>
      </x:c>
      <x:c r="AB41" s="2" t="n">
        <x:f>AA41+AB40</x:f>
        <x:v>-179810</x:v>
      </x:c>
      <x:c r="AC41" s="2" t="n">
        <x:f>AB41+AC40</x:f>
        <x:v>-152050</x:v>
      </x:c>
      <x:c r="AD41" s="2" t="n">
        <x:f>AC41+AD40</x:f>
        <x:v>-122220</x:v>
      </x:c>
      <x:c r="AE41" s="2" t="n">
        <x:f>AD41+AE40</x:f>
        <x:v>-90320</x:v>
      </x:c>
      <x:c r="AF41" s="2" t="n">
        <x:f>AE41+AF40</x:f>
        <x:v>-55570</x:v>
      </x:c>
      <x:c r="AG41" s="2" t="n">
        <x:f>AF41+AG40</x:f>
        <x:v>-20820</x:v>
      </x:c>
      <x:c r="AH41" s="2" t="n">
        <x:f>AG41+AH40</x:f>
        <x:v>13930</x:v>
      </x:c>
      <x:c r="AI41" s="2" t="n">
        <x:f>AH41+AI40</x:f>
        <x:v>48680</x:v>
      </x:c>
      <x:c r="AJ41" s="2" t="n">
        <x:f>AI41+AJ40</x:f>
        <x:v>83430</x:v>
      </x:c>
      <x:c r="AK41" s="2" t="n">
        <x:f>AJ41+AK40</x:f>
        <x:v>118180</x:v>
      </x:c>
      <x:c r="AL41" s="2" t="n">
        <x:f>AK41+AL40</x:f>
        <x:v>152930</x:v>
      </x:c>
      <x:c r="AM41" s="2" t="n">
        <x:f>AL41+AM40</x:f>
        <x:v>187680</x:v>
      </x:c>
      <x:c r="AN41" s="3"/>
    </x:row>
    <x:row r="42" ht="24" customHeight="1">
      <x:c r="A42" s="1"/>
      <x:c r="B42" s="1"/>
      <x:c r="C42" s="1" t="str">
        <x:v>敏感性回本月标记</x:v>
      </x:c>
      <x:c r="D42" s="15" t="n">
        <x:f>IF(AND(D$5&gt;'假设'!$D$25,D41&gt;=0),D$5,999)</x:f>
        <x:v>999</x:v>
      </x:c>
      <x:c r="E42" s="15" t="n">
        <x:f>IF(AND(E$5&gt;'假设'!$D$25,E41&gt;=0),E$5,999)</x:f>
        <x:v>999</x:v>
      </x:c>
      <x:c r="F42" s="15" t="n">
        <x:f>IF(AND(F$5&gt;'假设'!$D$25,F41&gt;=0),F$5,999)</x:f>
        <x:v>999</x:v>
      </x:c>
      <x:c r="G42" s="15" t="n">
        <x:f>IF(AND(G$5&gt;'假设'!$D$25,G41&gt;=0),G$5,999)</x:f>
        <x:v>999</x:v>
      </x:c>
      <x:c r="H42" s="15" t="n">
        <x:f>IF(AND(H$5&gt;'假设'!$D$25,H41&gt;=0),H$5,999)</x:f>
        <x:v>999</x:v>
      </x:c>
      <x:c r="I42" s="15" t="n">
        <x:f>IF(AND(I$5&gt;'假设'!$D$25,I41&gt;=0),I$5,999)</x:f>
        <x:v>999</x:v>
      </x:c>
      <x:c r="J42" s="15" t="n">
        <x:f>IF(AND(J$5&gt;'假设'!$D$25,J41&gt;=0),J$5,999)</x:f>
        <x:v>999</x:v>
      </x:c>
      <x:c r="K42" s="15" t="n">
        <x:f>IF(AND(K$5&gt;'假设'!$D$25,K41&gt;=0),K$5,999)</x:f>
        <x:v>999</x:v>
      </x:c>
      <x:c r="L42" s="15" t="n">
        <x:f>IF(AND(L$5&gt;'假设'!$D$25,L41&gt;=0),L$5,999)</x:f>
        <x:v>999</x:v>
      </x:c>
      <x:c r="M42" s="15" t="n">
        <x:f>IF(AND(M$5&gt;'假设'!$D$25,M41&gt;=0),M$5,999)</x:f>
        <x:v>999</x:v>
      </x:c>
      <x:c r="N42" s="15" t="n">
        <x:f>IF(AND(N$5&gt;'假设'!$D$25,N41&gt;=0),N$5,999)</x:f>
        <x:v>999</x:v>
      </x:c>
      <x:c r="O42" s="15" t="n">
        <x:f>IF(AND(O$5&gt;'假设'!$D$25,O41&gt;=0),O$5,999)</x:f>
        <x:v>999</x:v>
      </x:c>
      <x:c r="P42" s="15" t="n">
        <x:f>IF(AND(P$5&gt;'假设'!$D$25,P41&gt;=0),P$5,999)</x:f>
        <x:v>999</x:v>
      </x:c>
      <x:c r="Q42" s="15" t="n">
        <x:f>IF(AND(Q$5&gt;'假设'!$D$25,Q41&gt;=0),Q$5,999)</x:f>
        <x:v>999</x:v>
      </x:c>
      <x:c r="R42" s="15" t="n">
        <x:f>IF(AND(R$5&gt;'假设'!$D$25,R41&gt;=0),R$5,999)</x:f>
        <x:v>999</x:v>
      </x:c>
      <x:c r="S42" s="15" t="n">
        <x:f>IF(AND(S$5&gt;'假设'!$D$25,S41&gt;=0),S$5,999)</x:f>
        <x:v>999</x:v>
      </x:c>
      <x:c r="T42" s="15" t="n">
        <x:f>IF(AND(T$5&gt;'假设'!$D$25,T41&gt;=0),T$5,999)</x:f>
        <x:v>999</x:v>
      </x:c>
      <x:c r="U42" s="15" t="n">
        <x:f>IF(AND(U$5&gt;'假设'!$D$25,U41&gt;=0),U$5,999)</x:f>
        <x:v>999</x:v>
      </x:c>
      <x:c r="V42" s="15" t="n">
        <x:f>IF(AND(V$5&gt;'假设'!$D$25,V41&gt;=0),V$5,999)</x:f>
        <x:v>999</x:v>
      </x:c>
      <x:c r="W42" s="15" t="n">
        <x:f>IF(AND(W$5&gt;'假设'!$D$25,W41&gt;=0),W$5,999)</x:f>
        <x:v>999</x:v>
      </x:c>
      <x:c r="X42" s="15" t="n">
        <x:f>IF(AND(X$5&gt;'假设'!$D$25,X41&gt;=0),X$5,999)</x:f>
        <x:v>999</x:v>
      </x:c>
      <x:c r="Y42" s="15" t="n">
        <x:f>IF(AND(Y$5&gt;'假设'!$D$25,Y41&gt;=0),Y$5,999)</x:f>
        <x:v>999</x:v>
      </x:c>
      <x:c r="Z42" s="15" t="n">
        <x:f>IF(AND(Z$5&gt;'假设'!$D$25,Z41&gt;=0),Z$5,999)</x:f>
        <x:v>999</x:v>
      </x:c>
      <x:c r="AA42" s="15" t="n">
        <x:f>IF(AND(AA$5&gt;'假设'!$D$25,AA41&gt;=0),AA$5,999)</x:f>
        <x:v>999</x:v>
      </x:c>
      <x:c r="AB42" s="15" t="n">
        <x:f>IF(AND(AB$5&gt;'假设'!$D$25,AB41&gt;=0),AB$5,999)</x:f>
        <x:v>999</x:v>
      </x:c>
      <x:c r="AC42" s="15" t="n">
        <x:f>IF(AND(AC$5&gt;'假设'!$D$25,AC41&gt;=0),AC$5,999)</x:f>
        <x:v>999</x:v>
      </x:c>
      <x:c r="AD42" s="15" t="n">
        <x:f>IF(AND(AD$5&gt;'假设'!$D$25,AD41&gt;=0),AD$5,999)</x:f>
        <x:v>999</x:v>
      </x:c>
      <x:c r="AE42" s="15" t="n">
        <x:f>IF(AND(AE$5&gt;'假设'!$D$25,AE41&gt;=0),AE$5,999)</x:f>
        <x:v>999</x:v>
      </x:c>
      <x:c r="AF42" s="15" t="n">
        <x:f>IF(AND(AF$5&gt;'假设'!$D$25,AF41&gt;=0),AF$5,999)</x:f>
        <x:v>999</x:v>
      </x:c>
      <x:c r="AG42" s="15" t="n">
        <x:f>IF(AND(AG$5&gt;'假设'!$D$25,AG41&gt;=0),AG$5,999)</x:f>
        <x:v>999</x:v>
      </x:c>
      <x:c r="AH42" s="15" t="n">
        <x:f>IF(AND(AH$5&gt;'假设'!$D$25,AH41&gt;=0),AH$5,999)</x:f>
        <x:v>31</x:v>
      </x:c>
      <x:c r="AI42" s="15" t="n">
        <x:f>IF(AND(AI$5&gt;'假设'!$D$25,AI41&gt;=0),AI$5,999)</x:f>
        <x:v>32</x:v>
      </x:c>
      <x:c r="AJ42" s="15" t="n">
        <x:f>IF(AND(AJ$5&gt;'假设'!$D$25,AJ41&gt;=0),AJ$5,999)</x:f>
        <x:v>33</x:v>
      </x:c>
      <x:c r="AK42" s="15" t="n">
        <x:f>IF(AND(AK$5&gt;'假设'!$D$25,AK41&gt;=0),AK$5,999)</x:f>
        <x:v>34</x:v>
      </x:c>
      <x:c r="AL42" s="15" t="n">
        <x:f>IF(AND(AL$5&gt;'假设'!$D$25,AL41&gt;=0),AL$5,999)</x:f>
        <x:v>35</x:v>
      </x:c>
      <x:c r="AM42" s="15" t="n">
        <x:f>IF(AND(AM$5&gt;'假设'!$D$25,AM41&gt;=0),AM$5,999)</x:f>
        <x:v>36</x:v>
      </x:c>
      <x:c r="AN42" s="3"/>
    </x:row>
    <x:row r="43" ht="24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3"/>
    </x:row>
    <x:row r="44" ht="24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3"/>
    </x:row>
    <x:row r="45"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</x:cols>
  <x:sheetData>
    <x:row r="1" ht="24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3"/>
    </x:row>
    <x:row r="2" ht="24" customHeight="1">
      <x:c r="A2" s="1"/>
      <x:c r="B2" s="1"/>
      <x:c r="C2" s="4" t="str">
        <x:v>Wringy｜扩张现金流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3"/>
    </x:row>
    <x:row r="3" ht="24" customHeight="1">
      <x:c r="A3" s="1"/>
      <x:c r="B3" s="1"/>
      <x:c r="C3" s="1" t="str">
        <x:v>扩张｜全部为说明情景；RM，M1–M36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3"/>
    </x:row>
    <x:row r="4" ht="24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3"/>
    </x:row>
    <x:row r="5" ht="24" customHeight="1">
      <x:c r="A5" s="1"/>
      <x:c r="B5" s="1"/>
      <x:c r="C5" s="1"/>
      <x:c r="D5" s="19" t="n">
        <x:v>1</x:v>
      </x:c>
      <x:c r="E5" s="19" t="n">
        <x:v>2</x:v>
      </x:c>
      <x:c r="F5" s="19" t="n">
        <x:v>3</x:v>
      </x:c>
      <x:c r="G5" s="19" t="n">
        <x:v>4</x:v>
      </x:c>
      <x:c r="H5" s="19" t="n">
        <x:v>5</x:v>
      </x:c>
      <x:c r="I5" s="19" t="n">
        <x:v>6</x:v>
      </x:c>
      <x:c r="J5" s="19" t="n">
        <x:v>7</x:v>
      </x:c>
      <x:c r="K5" s="19" t="n">
        <x:v>8</x:v>
      </x:c>
      <x:c r="L5" s="19" t="n">
        <x:v>9</x:v>
      </x:c>
      <x:c r="M5" s="19" t="n">
        <x:v>10</x:v>
      </x:c>
      <x:c r="N5" s="19" t="n">
        <x:v>11</x:v>
      </x:c>
      <x:c r="O5" s="19" t="n">
        <x:v>12</x:v>
      </x:c>
      <x:c r="P5" s="19" t="n">
        <x:v>13</x:v>
      </x:c>
      <x:c r="Q5" s="19" t="n">
        <x:v>14</x:v>
      </x:c>
      <x:c r="R5" s="19" t="n">
        <x:v>15</x:v>
      </x:c>
      <x:c r="S5" s="19" t="n">
        <x:v>16</x:v>
      </x:c>
      <x:c r="T5" s="19" t="n">
        <x:v>17</x:v>
      </x:c>
      <x:c r="U5" s="19" t="n">
        <x:v>18</x:v>
      </x:c>
      <x:c r="V5" s="19" t="n">
        <x:v>19</x:v>
      </x:c>
      <x:c r="W5" s="19" t="n">
        <x:v>20</x:v>
      </x:c>
      <x:c r="X5" s="19" t="n">
        <x:v>21</x:v>
      </x:c>
      <x:c r="Y5" s="19" t="n">
        <x:v>22</x:v>
      </x:c>
      <x:c r="Z5" s="19" t="n">
        <x:v>23</x:v>
      </x:c>
      <x:c r="AA5" s="19" t="n">
        <x:v>24</x:v>
      </x:c>
      <x:c r="AB5" s="19" t="n">
        <x:v>25</x:v>
      </x:c>
      <x:c r="AC5" s="19" t="n">
        <x:v>26</x:v>
      </x:c>
      <x:c r="AD5" s="19" t="n">
        <x:v>27</x:v>
      </x:c>
      <x:c r="AE5" s="19" t="n">
        <x:v>28</x:v>
      </x:c>
      <x:c r="AF5" s="19" t="n">
        <x:v>29</x:v>
      </x:c>
      <x:c r="AG5" s="19" t="n">
        <x:v>30</x:v>
      </x:c>
      <x:c r="AH5" s="19" t="n">
        <x:v>31</x:v>
      </x:c>
      <x:c r="AI5" s="19" t="n">
        <x:v>32</x:v>
      </x:c>
      <x:c r="AJ5" s="19" t="n">
        <x:v>33</x:v>
      </x:c>
      <x:c r="AK5" s="19" t="n">
        <x:v>34</x:v>
      </x:c>
      <x:c r="AL5" s="19" t="n">
        <x:v>35</x:v>
      </x:c>
      <x:c r="AM5" s="19" t="n">
        <x:v>36</x:v>
      </x:c>
      <x:c r="AN5" s="3"/>
    </x:row>
    <x:row r="6" ht="24" customHeight="1">
      <x:c r="A6" s="1"/>
      <x:c r="B6" s="1"/>
      <x:c r="C6" s="1" t="str">
        <x:v>活动数</x:v>
      </x:c>
      <x:c r="D6" s="15" t="n">
        <x:f>'假设'!D33</x:f>
        <x:v>0</x:v>
      </x:c>
      <x:c r="E6" s="15" t="n">
        <x:f>'假设'!E33</x:f>
        <x:v>0</x:v>
      </x:c>
      <x:c r="F6" s="15" t="n">
        <x:f>'假设'!F33</x:f>
        <x:v>0</x:v>
      </x:c>
      <x:c r="G6" s="15" t="n">
        <x:f>'假设'!G33</x:f>
        <x:v>0</x:v>
      </x:c>
      <x:c r="H6" s="15" t="n">
        <x:f>'假设'!H33</x:f>
        <x:v>12</x:v>
      </x:c>
      <x:c r="I6" s="15" t="n">
        <x:f>'假设'!I33</x:f>
        <x:v>20</x:v>
      </x:c>
      <x:c r="J6" s="15" t="n">
        <x:f>'假设'!J33</x:f>
        <x:v>28</x:v>
      </x:c>
      <x:c r="K6" s="15" t="n">
        <x:f>'假设'!K33</x:f>
        <x:v>36</x:v>
      </x:c>
      <x:c r="L6" s="15" t="n">
        <x:f>'假设'!L33</x:f>
        <x:v>44</x:v>
      </x:c>
      <x:c r="M6" s="15" t="n">
        <x:f>'假设'!M33</x:f>
        <x:v>52</x:v>
      </x:c>
      <x:c r="N6" s="15" t="n">
        <x:f>'假设'!N33</x:f>
        <x:v>60</x:v>
      </x:c>
      <x:c r="O6" s="15" t="n">
        <x:f>'假设'!O33</x:f>
        <x:v>68</x:v>
      </x:c>
      <x:c r="P6" s="15" t="n">
        <x:f>'假设'!P33</x:f>
        <x:v>76</x:v>
      </x:c>
      <x:c r="Q6" s="15" t="n">
        <x:f>'假设'!Q33</x:f>
        <x:v>84</x:v>
      </x:c>
      <x:c r="R6" s="15" t="n">
        <x:f>'假设'!R33</x:f>
        <x:v>92</x:v>
      </x:c>
      <x:c r="S6" s="15" t="n">
        <x:f>'假设'!S33</x:f>
        <x:v>100</x:v>
      </x:c>
      <x:c r="T6" s="15" t="n">
        <x:f>'假设'!T33</x:f>
        <x:v>110</x:v>
      </x:c>
      <x:c r="U6" s="15" t="n">
        <x:f>'假设'!U33</x:f>
        <x:v>120</x:v>
      </x:c>
      <x:c r="V6" s="15" t="n">
        <x:f>'假设'!V33</x:f>
        <x:v>130</x:v>
      </x:c>
      <x:c r="W6" s="15" t="n">
        <x:f>'假设'!W33</x:f>
        <x:v>140</x:v>
      </x:c>
      <x:c r="X6" s="15" t="n">
        <x:f>'假设'!X33</x:f>
        <x:v>150</x:v>
      </x:c>
      <x:c r="Y6" s="15" t="n">
        <x:f>'假设'!Y33</x:f>
        <x:v>160</x:v>
      </x:c>
      <x:c r="Z6" s="15" t="n">
        <x:f>'假设'!Z33</x:f>
        <x:v>170</x:v>
      </x:c>
      <x:c r="AA6" s="15" t="n">
        <x:f>'假设'!AA33</x:f>
        <x:v>180</x:v>
      </x:c>
      <x:c r="AB6" s="15" t="n">
        <x:f>'假设'!AB33</x:f>
        <x:v>190</x:v>
      </x:c>
      <x:c r="AC6" s="15" t="n">
        <x:f>'假设'!AC33</x:f>
        <x:v>200</x:v>
      </x:c>
      <x:c r="AD6" s="15" t="n">
        <x:f>'假设'!AD33</x:f>
        <x:v>210</x:v>
      </x:c>
      <x:c r="AE6" s="15" t="n">
        <x:f>'假设'!AE33</x:f>
        <x:v>220</x:v>
      </x:c>
      <x:c r="AF6" s="15" t="n">
        <x:f>'假设'!AF33</x:f>
        <x:v>230</x:v>
      </x:c>
      <x:c r="AG6" s="15" t="n">
        <x:f>'假设'!AG33</x:f>
        <x:v>240</x:v>
      </x:c>
      <x:c r="AH6" s="15" t="n">
        <x:f>'假设'!AH33</x:f>
        <x:v>240</x:v>
      </x:c>
      <x:c r="AI6" s="15" t="n">
        <x:f>'假设'!AI33</x:f>
        <x:v>240</x:v>
      </x:c>
      <x:c r="AJ6" s="15" t="n">
        <x:f>'假设'!AJ33</x:f>
        <x:v>240</x:v>
      </x:c>
      <x:c r="AK6" s="15" t="n">
        <x:f>'假设'!AK33</x:f>
        <x:v>240</x:v>
      </x:c>
      <x:c r="AL6" s="15" t="n">
        <x:f>'假设'!AL33</x:f>
        <x:v>240</x:v>
      </x:c>
      <x:c r="AM6" s="15" t="n">
        <x:f>'假设'!AM33</x:f>
        <x:v>240</x:v>
      </x:c>
      <x:c r="AN6" s="3"/>
    </x:row>
    <x:row r="7" ht="24" customHeight="1">
      <x:c r="A7" s="1"/>
      <x:c r="B7" s="1"/>
      <x:c r="C7" s="1" t="str">
        <x:v>活跃付费品牌（近似）</x:v>
      </x:c>
      <x:c r="D7" s="20" t="n">
        <x:f>D6/'假设'!$D$21</x:f>
        <x:v>0</x:v>
      </x:c>
      <x:c r="E7" s="20" t="n">
        <x:f>E6/'假设'!$D$21</x:f>
        <x:v>0</x:v>
      </x:c>
      <x:c r="F7" s="20" t="n">
        <x:f>F6/'假设'!$D$21</x:f>
        <x:v>0</x:v>
      </x:c>
      <x:c r="G7" s="20" t="n">
        <x:f>G6/'假设'!$D$21</x:f>
        <x:v>0</x:v>
      </x:c>
      <x:c r="H7" s="20" t="n">
        <x:f>H6/'假设'!$D$21</x:f>
        <x:v>6</x:v>
      </x:c>
      <x:c r="I7" s="20" t="n">
        <x:f>I6/'假设'!$D$21</x:f>
        <x:v>10</x:v>
      </x:c>
      <x:c r="J7" s="20" t="n">
        <x:f>J6/'假设'!$D$21</x:f>
        <x:v>14</x:v>
      </x:c>
      <x:c r="K7" s="20" t="n">
        <x:f>K6/'假设'!$D$21</x:f>
        <x:v>18</x:v>
      </x:c>
      <x:c r="L7" s="20" t="n">
        <x:f>L6/'假设'!$D$21</x:f>
        <x:v>22</x:v>
      </x:c>
      <x:c r="M7" s="20" t="n">
        <x:f>M6/'假设'!$D$21</x:f>
        <x:v>26</x:v>
      </x:c>
      <x:c r="N7" s="20" t="n">
        <x:f>N6/'假设'!$D$21</x:f>
        <x:v>30</x:v>
      </x:c>
      <x:c r="O7" s="20" t="n">
        <x:f>O6/'假设'!$D$21</x:f>
        <x:v>34</x:v>
      </x:c>
      <x:c r="P7" s="20" t="n">
        <x:f>P6/'假设'!$D$21</x:f>
        <x:v>38</x:v>
      </x:c>
      <x:c r="Q7" s="20" t="n">
        <x:f>Q6/'假设'!$D$21</x:f>
        <x:v>42</x:v>
      </x:c>
      <x:c r="R7" s="20" t="n">
        <x:f>R6/'假设'!$D$21</x:f>
        <x:v>46</x:v>
      </x:c>
      <x:c r="S7" s="20" t="n">
        <x:f>S6/'假设'!$D$21</x:f>
        <x:v>50</x:v>
      </x:c>
      <x:c r="T7" s="20" t="n">
        <x:f>T6/'假设'!$D$21</x:f>
        <x:v>55</x:v>
      </x:c>
      <x:c r="U7" s="20" t="n">
        <x:f>U6/'假设'!$D$21</x:f>
        <x:v>60</x:v>
      </x:c>
      <x:c r="V7" s="20" t="n">
        <x:f>V6/'假设'!$D$21</x:f>
        <x:v>65</x:v>
      </x:c>
      <x:c r="W7" s="20" t="n">
        <x:f>W6/'假设'!$D$21</x:f>
        <x:v>70</x:v>
      </x:c>
      <x:c r="X7" s="20" t="n">
        <x:f>X6/'假设'!$D$21</x:f>
        <x:v>75</x:v>
      </x:c>
      <x:c r="Y7" s="20" t="n">
        <x:f>Y6/'假设'!$D$21</x:f>
        <x:v>80</x:v>
      </x:c>
      <x:c r="Z7" s="20" t="n">
        <x:f>Z6/'假设'!$D$21</x:f>
        <x:v>85</x:v>
      </x:c>
      <x:c r="AA7" s="20" t="n">
        <x:f>AA6/'假设'!$D$21</x:f>
        <x:v>90</x:v>
      </x:c>
      <x:c r="AB7" s="20" t="n">
        <x:f>AB6/'假设'!$D$21</x:f>
        <x:v>95</x:v>
      </x:c>
      <x:c r="AC7" s="20" t="n">
        <x:f>AC6/'假设'!$D$21</x:f>
        <x:v>100</x:v>
      </x:c>
      <x:c r="AD7" s="20" t="n">
        <x:f>AD6/'假设'!$D$21</x:f>
        <x:v>105</x:v>
      </x:c>
      <x:c r="AE7" s="20" t="n">
        <x:f>AE6/'假设'!$D$21</x:f>
        <x:v>110</x:v>
      </x:c>
      <x:c r="AF7" s="20" t="n">
        <x:f>AF6/'假设'!$D$21</x:f>
        <x:v>115</x:v>
      </x:c>
      <x:c r="AG7" s="20" t="n">
        <x:f>AG6/'假设'!$D$21</x:f>
        <x:v>120</x:v>
      </x:c>
      <x:c r="AH7" s="20" t="n">
        <x:f>AH6/'假设'!$D$21</x:f>
        <x:v>120</x:v>
      </x:c>
      <x:c r="AI7" s="20" t="n">
        <x:f>AI6/'假设'!$D$21</x:f>
        <x:v>120</x:v>
      </x:c>
      <x:c r="AJ7" s="20" t="n">
        <x:f>AJ6/'假设'!$D$21</x:f>
        <x:v>120</x:v>
      </x:c>
      <x:c r="AK7" s="20" t="n">
        <x:f>AK6/'假设'!$D$21</x:f>
        <x:v>120</x:v>
      </x:c>
      <x:c r="AL7" s="20" t="n">
        <x:f>AL6/'假设'!$D$21</x:f>
        <x:v>120</x:v>
      </x:c>
      <x:c r="AM7" s="20" t="n">
        <x:f>AM6/'假设'!$D$21</x:f>
        <x:v>120</x:v>
      </x:c>
      <x:c r="AN7" s="3"/>
    </x:row>
    <x:row r="8" ht="24" customHeight="1">
      <x:c r="A8" s="1"/>
      <x:c r="B8" s="1"/>
      <x:c r="C8" s="1" t="str">
        <x:v>留存品牌</x:v>
      </x:c>
      <x:c r="D8" s="21" t="n">
        <x:f>0</x:f>
        <x:v>0</x:v>
      </x:c>
      <x:c r="E8" s="20" t="n">
        <x:f>MIN(E7,D7*(1-'假设'!$D$22))</x:f>
        <x:v>0</x:v>
      </x:c>
      <x:c r="F8" s="20" t="n">
        <x:f>MIN(F7,E7*(1-'假设'!$D$22))</x:f>
        <x:v>0</x:v>
      </x:c>
      <x:c r="G8" s="20" t="n">
        <x:f>MIN(G7,F7*(1-'假设'!$D$22))</x:f>
        <x:v>0</x:v>
      </x:c>
      <x:c r="H8" s="20" t="n">
        <x:f>MIN(H7,G7*(1-'假设'!$D$22))</x:f>
        <x:v>0</x:v>
      </x:c>
      <x:c r="I8" s="20" t="n">
        <x:f>MIN(I7,H7*(1-'假设'!$D$22))</x:f>
        <x:v>5.699999999999999</x:v>
      </x:c>
      <x:c r="J8" s="20" t="n">
        <x:f>MIN(J7,I7*(1-'假设'!$D$22))</x:f>
        <x:v>9.5</x:v>
      </x:c>
      <x:c r="K8" s="20" t="n">
        <x:f>MIN(K7,J7*(1-'假设'!$D$22))</x:f>
        <x:v>13.299999999999999</x:v>
      </x:c>
      <x:c r="L8" s="20" t="n">
        <x:f>MIN(L7,K7*(1-'假设'!$D$22))</x:f>
        <x:v>17.099999999999998</x:v>
      </x:c>
      <x:c r="M8" s="20" t="n">
        <x:f>MIN(M7,L7*(1-'假设'!$D$22))</x:f>
        <x:v>20.9</x:v>
      </x:c>
      <x:c r="N8" s="20" t="n">
        <x:f>MIN(N7,M7*(1-'假设'!$D$22))</x:f>
        <x:v>24.7</x:v>
      </x:c>
      <x:c r="O8" s="20" t="n">
        <x:f>MIN(O7,N7*(1-'假设'!$D$22))</x:f>
        <x:v>28.5</x:v>
      </x:c>
      <x:c r="P8" s="20" t="n">
        <x:f>MIN(P7,O7*(1-'假设'!$D$22))</x:f>
        <x:v>32.3</x:v>
      </x:c>
      <x:c r="Q8" s="20" t="n">
        <x:f>MIN(Q7,P7*(1-'假设'!$D$22))</x:f>
        <x:v>36.1</x:v>
      </x:c>
      <x:c r="R8" s="20" t="n">
        <x:f>MIN(R7,Q7*(1-'假设'!$D$22))</x:f>
        <x:v>39.9</x:v>
      </x:c>
      <x:c r="S8" s="20" t="n">
        <x:f>MIN(S7,R7*(1-'假设'!$D$22))</x:f>
        <x:v>43.699999999999996</x:v>
      </x:c>
      <x:c r="T8" s="20" t="n">
        <x:f>MIN(T7,S7*(1-'假设'!$D$22))</x:f>
        <x:v>47.5</x:v>
      </x:c>
      <x:c r="U8" s="20" t="n">
        <x:f>MIN(U7,T7*(1-'假设'!$D$22))</x:f>
        <x:v>52.25</x:v>
      </x:c>
      <x:c r="V8" s="20" t="n">
        <x:f>MIN(V7,U7*(1-'假设'!$D$22))</x:f>
        <x:v>57</x:v>
      </x:c>
      <x:c r="W8" s="20" t="n">
        <x:f>MIN(W7,V7*(1-'假设'!$D$22))</x:f>
        <x:v>61.75</x:v>
      </x:c>
      <x:c r="X8" s="20" t="n">
        <x:f>MIN(X7,W7*(1-'假设'!$D$22))</x:f>
        <x:v>66.5</x:v>
      </x:c>
      <x:c r="Y8" s="20" t="n">
        <x:f>MIN(Y7,X7*(1-'假设'!$D$22))</x:f>
        <x:v>71.25</x:v>
      </x:c>
      <x:c r="Z8" s="20" t="n">
        <x:f>MIN(Z7,Y7*(1-'假设'!$D$22))</x:f>
        <x:v>76</x:v>
      </x:c>
      <x:c r="AA8" s="20" t="n">
        <x:f>MIN(AA7,Z7*(1-'假设'!$D$22))</x:f>
        <x:v>80.75</x:v>
      </x:c>
      <x:c r="AB8" s="20" t="n">
        <x:f>MIN(AB7,AA7*(1-'假设'!$D$22))</x:f>
        <x:v>85.5</x:v>
      </x:c>
      <x:c r="AC8" s="20" t="n">
        <x:f>MIN(AC7,AB7*(1-'假设'!$D$22))</x:f>
        <x:v>90.25</x:v>
      </x:c>
      <x:c r="AD8" s="20" t="n">
        <x:f>MIN(AD7,AC7*(1-'假设'!$D$22))</x:f>
        <x:v>95</x:v>
      </x:c>
      <x:c r="AE8" s="20" t="n">
        <x:f>MIN(AE7,AD7*(1-'假设'!$D$22))</x:f>
        <x:v>99.75</x:v>
      </x:c>
      <x:c r="AF8" s="20" t="n">
        <x:f>MIN(AF7,AE7*(1-'假设'!$D$22))</x:f>
        <x:v>104.5</x:v>
      </x:c>
      <x:c r="AG8" s="20" t="n">
        <x:f>MIN(AG7,AF7*(1-'假设'!$D$22))</x:f>
        <x:v>109.25</x:v>
      </x:c>
      <x:c r="AH8" s="20" t="n">
        <x:f>MIN(AH7,AG7*(1-'假设'!$D$22))</x:f>
        <x:v>114</x:v>
      </x:c>
      <x:c r="AI8" s="20" t="n">
        <x:f>MIN(AI7,AH7*(1-'假设'!$D$22))</x:f>
        <x:v>114</x:v>
      </x:c>
      <x:c r="AJ8" s="20" t="n">
        <x:f>MIN(AJ7,AI7*(1-'假设'!$D$22))</x:f>
        <x:v>114</x:v>
      </x:c>
      <x:c r="AK8" s="20" t="n">
        <x:f>MIN(AK7,AJ7*(1-'假设'!$D$22))</x:f>
        <x:v>114</x:v>
      </x:c>
      <x:c r="AL8" s="20" t="n">
        <x:f>MIN(AL7,AK7*(1-'假设'!$D$22))</x:f>
        <x:v>114</x:v>
      </x:c>
      <x:c r="AM8" s="20" t="n">
        <x:f>MIN(AM7,AL7*(1-'假设'!$D$22))</x:f>
        <x:v>114</x:v>
      </x:c>
      <x:c r="AN8" s="3"/>
    </x:row>
    <x:row r="9" ht="24" customHeight="1">
      <x:c r="A9" s="1"/>
      <x:c r="B9" s="1"/>
      <x:c r="C9" s="1" t="str">
        <x:v>新增／替补品牌</x:v>
      </x:c>
      <x:c r="D9" s="21" t="n">
        <x:f>MAX(0,D7-D8)</x:f>
        <x:v>0</x:v>
      </x:c>
      <x:c r="E9" s="21" t="n">
        <x:f>MAX(0,E7-E8)</x:f>
        <x:v>0</x:v>
      </x:c>
      <x:c r="F9" s="21" t="n">
        <x:f>MAX(0,F7-F8)</x:f>
        <x:v>0</x:v>
      </x:c>
      <x:c r="G9" s="21" t="n">
        <x:f>MAX(0,G7-G8)</x:f>
        <x:v>0</x:v>
      </x:c>
      <x:c r="H9" s="21" t="n">
        <x:f>MAX(0,H7-H8)</x:f>
        <x:v>6</x:v>
      </x:c>
      <x:c r="I9" s="21" t="n">
        <x:f>MAX(0,I7-I8)</x:f>
        <x:v>4.300000000000001</x:v>
      </x:c>
      <x:c r="J9" s="21" t="n">
        <x:f>MAX(0,J7-J8)</x:f>
        <x:v>4.5</x:v>
      </x:c>
      <x:c r="K9" s="21" t="n">
        <x:f>MAX(0,K7-K8)</x:f>
        <x:v>4.700000000000001</x:v>
      </x:c>
      <x:c r="L9" s="21" t="n">
        <x:f>MAX(0,L7-L8)</x:f>
        <x:v>4.900000000000002</x:v>
      </x:c>
      <x:c r="M9" s="21" t="n">
        <x:f>MAX(0,M7-M8)</x:f>
        <x:v>5.100000000000001</x:v>
      </x:c>
      <x:c r="N9" s="21" t="n">
        <x:f>MAX(0,N7-N8)</x:f>
        <x:v>5.300000000000001</x:v>
      </x:c>
      <x:c r="O9" s="21" t="n">
        <x:f>MAX(0,O7-O8)</x:f>
        <x:v>5.5</x:v>
      </x:c>
      <x:c r="P9" s="21" t="n">
        <x:f>MAX(0,P7-P8)</x:f>
        <x:v>5.700000000000003</x:v>
      </x:c>
      <x:c r="Q9" s="21" t="n">
        <x:f>MAX(0,Q7-Q8)</x:f>
        <x:v>5.899999999999999</x:v>
      </x:c>
      <x:c r="R9" s="21" t="n">
        <x:f>MAX(0,R7-R8)</x:f>
        <x:v>6.100000000000001</x:v>
      </x:c>
      <x:c r="S9" s="21" t="n">
        <x:f>MAX(0,S7-S8)</x:f>
        <x:v>6.300000000000004</x:v>
      </x:c>
      <x:c r="T9" s="21" t="n">
        <x:f>MAX(0,T7-T8)</x:f>
        <x:v>7.5</x:v>
      </x:c>
      <x:c r="U9" s="21" t="n">
        <x:f>MAX(0,U7-U8)</x:f>
        <x:v>7.75</x:v>
      </x:c>
      <x:c r="V9" s="21" t="n">
        <x:f>MAX(0,V7-V8)</x:f>
        <x:v>8</x:v>
      </x:c>
      <x:c r="W9" s="21" t="n">
        <x:f>MAX(0,W7-W8)</x:f>
        <x:v>8.25</x:v>
      </x:c>
      <x:c r="X9" s="21" t="n">
        <x:f>MAX(0,X7-X8)</x:f>
        <x:v>8.5</x:v>
      </x:c>
      <x:c r="Y9" s="21" t="n">
        <x:f>MAX(0,Y7-Y8)</x:f>
        <x:v>8.75</x:v>
      </x:c>
      <x:c r="Z9" s="21" t="n">
        <x:f>MAX(0,Z7-Z8)</x:f>
        <x:v>9</x:v>
      </x:c>
      <x:c r="AA9" s="21" t="n">
        <x:f>MAX(0,AA7-AA8)</x:f>
        <x:v>9.25</x:v>
      </x:c>
      <x:c r="AB9" s="21" t="n">
        <x:f>MAX(0,AB7-AB8)</x:f>
        <x:v>9.5</x:v>
      </x:c>
      <x:c r="AC9" s="21" t="n">
        <x:f>MAX(0,AC7-AC8)</x:f>
        <x:v>9.75</x:v>
      </x:c>
      <x:c r="AD9" s="21" t="n">
        <x:f>MAX(0,AD7-AD8)</x:f>
        <x:v>10</x:v>
      </x:c>
      <x:c r="AE9" s="21" t="n">
        <x:f>MAX(0,AE7-AE8)</x:f>
        <x:v>10.25</x:v>
      </x:c>
      <x:c r="AF9" s="21" t="n">
        <x:f>MAX(0,AF7-AF8)</x:f>
        <x:v>10.5</x:v>
      </x:c>
      <x:c r="AG9" s="21" t="n">
        <x:f>MAX(0,AG7-AG8)</x:f>
        <x:v>10.75</x:v>
      </x:c>
      <x:c r="AH9" s="21" t="n">
        <x:f>MAX(0,AH7-AH8)</x:f>
        <x:v>6</x:v>
      </x:c>
      <x:c r="AI9" s="21" t="n">
        <x:f>MAX(0,AI7-AI8)</x:f>
        <x:v>6</x:v>
      </x:c>
      <x:c r="AJ9" s="21" t="n">
        <x:f>MAX(0,AJ7-AJ8)</x:f>
        <x:v>6</x:v>
      </x:c>
      <x:c r="AK9" s="21" t="n">
        <x:f>MAX(0,AK7-AK8)</x:f>
        <x:v>6</x:v>
      </x:c>
      <x:c r="AL9" s="21" t="n">
        <x:f>MAX(0,AL7-AL8)</x:f>
        <x:v>6</x:v>
      </x:c>
      <x:c r="AM9" s="21" t="n">
        <x:f>MAX(0,AM7-AM8)</x:f>
        <x:v>6</x:v>
      </x:c>
      <x:c r="AN9" s="3"/>
    </x:row>
    <x:row r="10" ht="24" customHeight="1">
      <x:c r="A10" s="1"/>
      <x:c r="B10" s="1"/>
      <x:c r="C10" s="1" t="str">
        <x:v>独立品牌CAC现金支出</x:v>
      </x:c>
      <x:c r="D10" s="15" t="n">
        <x:f>IF(D$5&lt;='假设'!$D$25+1,0,D9*'假设'!$D$20)</x:f>
        <x:v>0</x:v>
      </x:c>
      <x:c r="E10" s="15" t="n">
        <x:f>IF(E$5&lt;='假设'!$D$25+1,0,E9*'假设'!$D$20)</x:f>
        <x:v>0</x:v>
      </x:c>
      <x:c r="F10" s="15" t="n">
        <x:f>IF(F$5&lt;='假设'!$D$25+1,0,F9*'假设'!$D$20)</x:f>
        <x:v>0</x:v>
      </x:c>
      <x:c r="G10" s="15" t="n">
        <x:f>IF(G$5&lt;='假设'!$D$25+1,0,G9*'假设'!$D$20)</x:f>
        <x:v>0</x:v>
      </x:c>
      <x:c r="H10" s="15" t="n">
        <x:f>IF(H$5&lt;='假设'!$D$25+1,0,H9*'假设'!$D$20)</x:f>
        <x:v>0</x:v>
      </x:c>
      <x:c r="I10" s="15" t="n">
        <x:f>IF(I$5&lt;='假设'!$D$25+1,0,I9*'假设'!$D$20)</x:f>
        <x:v>6450.000000000001</x:v>
      </x:c>
      <x:c r="J10" s="15" t="n">
        <x:f>IF(J$5&lt;='假设'!$D$25+1,0,J9*'假设'!$D$20)</x:f>
        <x:v>6750</x:v>
      </x:c>
      <x:c r="K10" s="15" t="n">
        <x:f>IF(K$5&lt;='假设'!$D$25+1,0,K9*'假设'!$D$20)</x:f>
        <x:v>7050.000000000002</x:v>
      </x:c>
      <x:c r="L10" s="15" t="n">
        <x:f>IF(L$5&lt;='假设'!$D$25+1,0,L9*'假设'!$D$20)</x:f>
        <x:v>7350.000000000004</x:v>
      </x:c>
      <x:c r="M10" s="15" t="n">
        <x:f>IF(M$5&lt;='假设'!$D$25+1,0,M9*'假设'!$D$20)</x:f>
        <x:v>7650.000000000002</x:v>
      </x:c>
      <x:c r="N10" s="15" t="n">
        <x:f>IF(N$5&lt;='假设'!$D$25+1,0,N9*'假设'!$D$20)</x:f>
        <x:v>7950.000000000001</x:v>
      </x:c>
      <x:c r="O10" s="15" t="n">
        <x:f>IF(O$5&lt;='假设'!$D$25+1,0,O9*'假设'!$D$20)</x:f>
        <x:v>8250</x:v>
      </x:c>
      <x:c r="P10" s="15" t="n">
        <x:f>IF(P$5&lt;='假设'!$D$25+1,0,P9*'假设'!$D$20)</x:f>
        <x:v>8550.000000000004</x:v>
      </x:c>
      <x:c r="Q10" s="15" t="n">
        <x:f>IF(Q$5&lt;='假设'!$D$25+1,0,Q9*'假设'!$D$20)</x:f>
        <x:v>8849.999999999998</x:v>
      </x:c>
      <x:c r="R10" s="15" t="n">
        <x:f>IF(R$5&lt;='假设'!$D$25+1,0,R9*'假设'!$D$20)</x:f>
        <x:v>9150.000000000002</x:v>
      </x:c>
      <x:c r="S10" s="15" t="n">
        <x:f>IF(S$5&lt;='假设'!$D$25+1,0,S9*'假设'!$D$20)</x:f>
        <x:v>9450.000000000007</x:v>
      </x:c>
      <x:c r="T10" s="15" t="n">
        <x:f>IF(T$5&lt;='假设'!$D$25+1,0,T9*'假设'!$D$20)</x:f>
        <x:v>11250</x:v>
      </x:c>
      <x:c r="U10" s="15" t="n">
        <x:f>IF(U$5&lt;='假设'!$D$25+1,0,U9*'假设'!$D$20)</x:f>
        <x:v>11625</x:v>
      </x:c>
      <x:c r="V10" s="15" t="n">
        <x:f>IF(V$5&lt;='假设'!$D$25+1,0,V9*'假设'!$D$20)</x:f>
        <x:v>12000</x:v>
      </x:c>
      <x:c r="W10" s="15" t="n">
        <x:f>IF(W$5&lt;='假设'!$D$25+1,0,W9*'假设'!$D$20)</x:f>
        <x:v>12375</x:v>
      </x:c>
      <x:c r="X10" s="15" t="n">
        <x:f>IF(X$5&lt;='假设'!$D$25+1,0,X9*'假设'!$D$20)</x:f>
        <x:v>12750</x:v>
      </x:c>
      <x:c r="Y10" s="15" t="n">
        <x:f>IF(Y$5&lt;='假设'!$D$25+1,0,Y9*'假设'!$D$20)</x:f>
        <x:v>13125</x:v>
      </x:c>
      <x:c r="Z10" s="15" t="n">
        <x:f>IF(Z$5&lt;='假设'!$D$25+1,0,Z9*'假设'!$D$20)</x:f>
        <x:v>13500</x:v>
      </x:c>
      <x:c r="AA10" s="15" t="n">
        <x:f>IF(AA$5&lt;='假设'!$D$25+1,0,AA9*'假设'!$D$20)</x:f>
        <x:v>13875</x:v>
      </x:c>
      <x:c r="AB10" s="15" t="n">
        <x:f>IF(AB$5&lt;='假设'!$D$25+1,0,AB9*'假设'!$D$20)</x:f>
        <x:v>14250</x:v>
      </x:c>
      <x:c r="AC10" s="15" t="n">
        <x:f>IF(AC$5&lt;='假设'!$D$25+1,0,AC9*'假设'!$D$20)</x:f>
        <x:v>14625</x:v>
      </x:c>
      <x:c r="AD10" s="15" t="n">
        <x:f>IF(AD$5&lt;='假设'!$D$25+1,0,AD9*'假设'!$D$20)</x:f>
        <x:v>15000</x:v>
      </x:c>
      <x:c r="AE10" s="15" t="n">
        <x:f>IF(AE$5&lt;='假设'!$D$25+1,0,AE9*'假设'!$D$20)</x:f>
        <x:v>15375</x:v>
      </x:c>
      <x:c r="AF10" s="15" t="n">
        <x:f>IF(AF$5&lt;='假设'!$D$25+1,0,AF9*'假设'!$D$20)</x:f>
        <x:v>15750</x:v>
      </x:c>
      <x:c r="AG10" s="15" t="n">
        <x:f>IF(AG$5&lt;='假设'!$D$25+1,0,AG9*'假设'!$D$20)</x:f>
        <x:v>16125</x:v>
      </x:c>
      <x:c r="AH10" s="15" t="n">
        <x:f>IF(AH$5&lt;='假设'!$D$25+1,0,AH9*'假设'!$D$20)</x:f>
        <x:v>9000</x:v>
      </x:c>
      <x:c r="AI10" s="15" t="n">
        <x:f>IF(AI$5&lt;='假设'!$D$25+1,0,AI9*'假设'!$D$20)</x:f>
        <x:v>9000</x:v>
      </x:c>
      <x:c r="AJ10" s="15" t="n">
        <x:f>IF(AJ$5&lt;='假设'!$D$25+1,0,AJ9*'假设'!$D$20)</x:f>
        <x:v>9000</x:v>
      </x:c>
      <x:c r="AK10" s="15" t="n">
        <x:f>IF(AK$5&lt;='假设'!$D$25+1,0,AK9*'假设'!$D$20)</x:f>
        <x:v>9000</x:v>
      </x:c>
      <x:c r="AL10" s="15" t="n">
        <x:f>IF(AL$5&lt;='假设'!$D$25+1,0,AL9*'假设'!$D$20)</x:f>
        <x:v>9000</x:v>
      </x:c>
      <x:c r="AM10" s="15" t="n">
        <x:f>IF(AM$5&lt;='假设'!$D$25+1,0,AM9*'假设'!$D$20)</x:f>
        <x:v>9000</x:v>
      </x:c>
      <x:c r="AN10" s="3"/>
    </x:row>
    <x:row r="11" ht="24" customHeight="1">
      <x:c r="A11" s="1"/>
      <x:c r="B11" s="1"/>
      <x:c r="C11" s="1" t="str">
        <x:v>合格播放需求</x:v>
      </x:c>
      <x:c r="D11" s="15" t="n">
        <x:f>D6*'单位经济'!$D$10</x:f>
        <x:v>0</x:v>
      </x:c>
      <x:c r="E11" s="15" t="n">
        <x:f>E6*'单位经济'!$D$10</x:f>
        <x:v>0</x:v>
      </x:c>
      <x:c r="F11" s="15" t="n">
        <x:f>F6*'单位经济'!$D$10</x:f>
        <x:v>0</x:v>
      </x:c>
      <x:c r="G11" s="15" t="n">
        <x:f>G6*'单位经济'!$D$10</x:f>
        <x:v>0</x:v>
      </x:c>
      <x:c r="H11" s="15" t="n">
        <x:f>H6*'单位经济'!$D$10</x:f>
        <x:v>24000000</x:v>
      </x:c>
      <x:c r="I11" s="15" t="n">
        <x:f>I6*'单位经济'!$D$10</x:f>
        <x:v>40000000</x:v>
      </x:c>
      <x:c r="J11" s="15" t="n">
        <x:f>J6*'单位经济'!$D$10</x:f>
        <x:v>56000000</x:v>
      </x:c>
      <x:c r="K11" s="15" t="n">
        <x:f>K6*'单位经济'!$D$10</x:f>
        <x:v>72000000</x:v>
      </x:c>
      <x:c r="L11" s="15" t="n">
        <x:f>L6*'单位经济'!$D$10</x:f>
        <x:v>88000000</x:v>
      </x:c>
      <x:c r="M11" s="15" t="n">
        <x:f>M6*'单位经济'!$D$10</x:f>
        <x:v>104000000</x:v>
      </x:c>
      <x:c r="N11" s="15" t="n">
        <x:f>N6*'单位经济'!$D$10</x:f>
        <x:v>120000000</x:v>
      </x:c>
      <x:c r="O11" s="15" t="n">
        <x:f>O6*'单位经济'!$D$10</x:f>
        <x:v>136000000</x:v>
      </x:c>
      <x:c r="P11" s="15" t="n">
        <x:f>P6*'单位经济'!$D$10</x:f>
        <x:v>152000000</x:v>
      </x:c>
      <x:c r="Q11" s="15" t="n">
        <x:f>Q6*'单位经济'!$D$10</x:f>
        <x:v>168000000</x:v>
      </x:c>
      <x:c r="R11" s="15" t="n">
        <x:f>R6*'单位经济'!$D$10</x:f>
        <x:v>184000000</x:v>
      </x:c>
      <x:c r="S11" s="15" t="n">
        <x:f>S6*'单位经济'!$D$10</x:f>
        <x:v>200000000</x:v>
      </x:c>
      <x:c r="T11" s="15" t="n">
        <x:f>T6*'单位经济'!$D$10</x:f>
        <x:v>220000000</x:v>
      </x:c>
      <x:c r="U11" s="15" t="n">
        <x:f>U6*'单位经济'!$D$10</x:f>
        <x:v>240000000</x:v>
      </x:c>
      <x:c r="V11" s="15" t="n">
        <x:f>V6*'单位经济'!$D$10</x:f>
        <x:v>260000000</x:v>
      </x:c>
      <x:c r="W11" s="15" t="n">
        <x:f>W6*'单位经济'!$D$10</x:f>
        <x:v>280000000</x:v>
      </x:c>
      <x:c r="X11" s="15" t="n">
        <x:f>X6*'单位经济'!$D$10</x:f>
        <x:v>300000000</x:v>
      </x:c>
      <x:c r="Y11" s="15" t="n">
        <x:f>Y6*'单位经济'!$D$10</x:f>
        <x:v>320000000</x:v>
      </x:c>
      <x:c r="Z11" s="15" t="n">
        <x:f>Z6*'单位经济'!$D$10</x:f>
        <x:v>340000000</x:v>
      </x:c>
      <x:c r="AA11" s="15" t="n">
        <x:f>AA6*'单位经济'!$D$10</x:f>
        <x:v>360000000</x:v>
      </x:c>
      <x:c r="AB11" s="15" t="n">
        <x:f>AB6*'单位经济'!$D$10</x:f>
        <x:v>380000000</x:v>
      </x:c>
      <x:c r="AC11" s="15" t="n">
        <x:f>AC6*'单位经济'!$D$10</x:f>
        <x:v>400000000</x:v>
      </x:c>
      <x:c r="AD11" s="15" t="n">
        <x:f>AD6*'单位经济'!$D$10</x:f>
        <x:v>420000000</x:v>
      </x:c>
      <x:c r="AE11" s="15" t="n">
        <x:f>AE6*'单位经济'!$D$10</x:f>
        <x:v>440000000</x:v>
      </x:c>
      <x:c r="AF11" s="15" t="n">
        <x:f>AF6*'单位经济'!$D$10</x:f>
        <x:v>460000000</x:v>
      </x:c>
      <x:c r="AG11" s="15" t="n">
        <x:f>AG6*'单位经济'!$D$10</x:f>
        <x:v>480000000</x:v>
      </x:c>
      <x:c r="AH11" s="15" t="n">
        <x:f>AH6*'单位经济'!$D$10</x:f>
        <x:v>480000000</x:v>
      </x:c>
      <x:c r="AI11" s="15" t="n">
        <x:f>AI6*'单位经济'!$D$10</x:f>
        <x:v>480000000</x:v>
      </x:c>
      <x:c r="AJ11" s="15" t="n">
        <x:f>AJ6*'单位经济'!$D$10</x:f>
        <x:v>480000000</x:v>
      </x:c>
      <x:c r="AK11" s="15" t="n">
        <x:f>AK6*'单位经济'!$D$10</x:f>
        <x:v>480000000</x:v>
      </x:c>
      <x:c r="AL11" s="15" t="n">
        <x:f>AL6*'单位经济'!$D$10</x:f>
        <x:v>480000000</x:v>
      </x:c>
      <x:c r="AM11" s="15" t="n">
        <x:f>AM6*'单位经济'!$D$10</x:f>
        <x:v>480000000</x:v>
      </x:c>
      <x:c r="AN11" s="3"/>
    </x:row>
    <x:row r="12" ht="24" customHeight="1">
      <x:c r="A12" s="1"/>
      <x:c r="B12" s="1"/>
      <x:c r="C12" s="1" t="str">
        <x:v>创作者奖励代转（非收入）</x:v>
      </x:c>
      <x:c r="D12" s="15" t="n">
        <x:f>D6*'假设'!$D$6</x:f>
        <x:v>0</x:v>
      </x:c>
      <x:c r="E12" s="15" t="n">
        <x:f>E6*'假设'!$D$6</x:f>
        <x:v>0</x:v>
      </x:c>
      <x:c r="F12" s="15" t="n">
        <x:f>F6*'假设'!$D$6</x:f>
        <x:v>0</x:v>
      </x:c>
      <x:c r="G12" s="15" t="n">
        <x:f>G6*'假设'!$D$6</x:f>
        <x:v>0</x:v>
      </x:c>
      <x:c r="H12" s="15" t="n">
        <x:f>H6*'假设'!$D$6</x:f>
        <x:v>120000</x:v>
      </x:c>
      <x:c r="I12" s="15" t="n">
        <x:f>I6*'假设'!$D$6</x:f>
        <x:v>200000</x:v>
      </x:c>
      <x:c r="J12" s="15" t="n">
        <x:f>J6*'假设'!$D$6</x:f>
        <x:v>280000</x:v>
      </x:c>
      <x:c r="K12" s="15" t="n">
        <x:f>K6*'假设'!$D$6</x:f>
        <x:v>360000</x:v>
      </x:c>
      <x:c r="L12" s="15" t="n">
        <x:f>L6*'假设'!$D$6</x:f>
        <x:v>440000</x:v>
      </x:c>
      <x:c r="M12" s="15" t="n">
        <x:f>M6*'假设'!$D$6</x:f>
        <x:v>520000</x:v>
      </x:c>
      <x:c r="N12" s="15" t="n">
        <x:f>N6*'假设'!$D$6</x:f>
        <x:v>600000</x:v>
      </x:c>
      <x:c r="O12" s="15" t="n">
        <x:f>O6*'假设'!$D$6</x:f>
        <x:v>680000</x:v>
      </x:c>
      <x:c r="P12" s="15" t="n">
        <x:f>P6*'假设'!$D$6</x:f>
        <x:v>760000</x:v>
      </x:c>
      <x:c r="Q12" s="15" t="n">
        <x:f>Q6*'假设'!$D$6</x:f>
        <x:v>840000</x:v>
      </x:c>
      <x:c r="R12" s="15" t="n">
        <x:f>R6*'假设'!$D$6</x:f>
        <x:v>920000</x:v>
      </x:c>
      <x:c r="S12" s="15" t="n">
        <x:f>S6*'假设'!$D$6</x:f>
        <x:v>1000000</x:v>
      </x:c>
      <x:c r="T12" s="15" t="n">
        <x:f>T6*'假设'!$D$6</x:f>
        <x:v>1100000</x:v>
      </x:c>
      <x:c r="U12" s="15" t="n">
        <x:f>U6*'假设'!$D$6</x:f>
        <x:v>1200000</x:v>
      </x:c>
      <x:c r="V12" s="15" t="n">
        <x:f>V6*'假设'!$D$6</x:f>
        <x:v>1300000</x:v>
      </x:c>
      <x:c r="W12" s="15" t="n">
        <x:f>W6*'假设'!$D$6</x:f>
        <x:v>1400000</x:v>
      </x:c>
      <x:c r="X12" s="15" t="n">
        <x:f>X6*'假设'!$D$6</x:f>
        <x:v>1500000</x:v>
      </x:c>
      <x:c r="Y12" s="15" t="n">
        <x:f>Y6*'假设'!$D$6</x:f>
        <x:v>1600000</x:v>
      </x:c>
      <x:c r="Z12" s="15" t="n">
        <x:f>Z6*'假设'!$D$6</x:f>
        <x:v>1700000</x:v>
      </x:c>
      <x:c r="AA12" s="15" t="n">
        <x:f>AA6*'假设'!$D$6</x:f>
        <x:v>1800000</x:v>
      </x:c>
      <x:c r="AB12" s="15" t="n">
        <x:f>AB6*'假设'!$D$6</x:f>
        <x:v>1900000</x:v>
      </x:c>
      <x:c r="AC12" s="15" t="n">
        <x:f>AC6*'假设'!$D$6</x:f>
        <x:v>2000000</x:v>
      </x:c>
      <x:c r="AD12" s="15" t="n">
        <x:f>AD6*'假设'!$D$6</x:f>
        <x:v>2100000</x:v>
      </x:c>
      <x:c r="AE12" s="15" t="n">
        <x:f>AE6*'假设'!$D$6</x:f>
        <x:v>2200000</x:v>
      </x:c>
      <x:c r="AF12" s="15" t="n">
        <x:f>AF6*'假设'!$D$6</x:f>
        <x:v>2300000</x:v>
      </x:c>
      <x:c r="AG12" s="15" t="n">
        <x:f>AG6*'假设'!$D$6</x:f>
        <x:v>2400000</x:v>
      </x:c>
      <x:c r="AH12" s="15" t="n">
        <x:f>AH6*'假设'!$D$6</x:f>
        <x:v>2400000</x:v>
      </x:c>
      <x:c r="AI12" s="15" t="n">
        <x:f>AI6*'假设'!$D$6</x:f>
        <x:v>2400000</x:v>
      </x:c>
      <x:c r="AJ12" s="15" t="n">
        <x:f>AJ6*'假设'!$D$6</x:f>
        <x:v>2400000</x:v>
      </x:c>
      <x:c r="AK12" s="15" t="n">
        <x:f>AK6*'假设'!$D$6</x:f>
        <x:v>2400000</x:v>
      </x:c>
      <x:c r="AL12" s="15" t="n">
        <x:f>AL6*'假设'!$D$6</x:f>
        <x:v>2400000</x:v>
      </x:c>
      <x:c r="AM12" s="15" t="n">
        <x:f>AM6*'假设'!$D$6</x:f>
        <x:v>2400000</x:v>
      </x:c>
      <x:c r="AN12" s="3"/>
    </x:row>
    <x:row r="13" ht="24" customHeight="1">
      <x:c r="A13" s="1"/>
      <x:c r="B13" s="1"/>
      <x:c r="C13" s="1" t="str">
        <x:v>品牌总支出（未税）</x:v>
      </x:c>
      <x:c r="D13" s="2" t="n">
        <x:f>D12+D14</x:f>
        <x:v>0</x:v>
      </x:c>
      <x:c r="E13" s="2" t="n">
        <x:f>E12+E14</x:f>
        <x:v>0</x:v>
      </x:c>
      <x:c r="F13" s="2" t="n">
        <x:f>F12+F14</x:f>
        <x:v>0</x:v>
      </x:c>
      <x:c r="G13" s="2" t="n">
        <x:f>G12+G14</x:f>
        <x:v>0</x:v>
      </x:c>
      <x:c r="H13" s="2" t="n">
        <x:f>H12+H14</x:f>
        <x:v>138000</x:v>
      </x:c>
      <x:c r="I13" s="2" t="n">
        <x:f>I12+I14</x:f>
        <x:v>230000</x:v>
      </x:c>
      <x:c r="J13" s="2" t="n">
        <x:f>J12+J14</x:f>
        <x:v>322000</x:v>
      </x:c>
      <x:c r="K13" s="2" t="n">
        <x:f>K12+K14</x:f>
        <x:v>414000</x:v>
      </x:c>
      <x:c r="L13" s="2" t="n">
        <x:f>L12+L14</x:f>
        <x:v>506000</x:v>
      </x:c>
      <x:c r="M13" s="2" t="n">
        <x:f>M12+M14</x:f>
        <x:v>598000</x:v>
      </x:c>
      <x:c r="N13" s="2" t="n">
        <x:f>N12+N14</x:f>
        <x:v>690000</x:v>
      </x:c>
      <x:c r="O13" s="2" t="n">
        <x:f>O12+O14</x:f>
        <x:v>782000</x:v>
      </x:c>
      <x:c r="P13" s="2" t="n">
        <x:f>P12+P14</x:f>
        <x:v>874000</x:v>
      </x:c>
      <x:c r="Q13" s="2" t="n">
        <x:f>Q12+Q14</x:f>
        <x:v>966000</x:v>
      </x:c>
      <x:c r="R13" s="2" t="n">
        <x:f>R12+R14</x:f>
        <x:v>1058000</x:v>
      </x:c>
      <x:c r="S13" s="2" t="n">
        <x:f>S12+S14</x:f>
        <x:v>1150000</x:v>
      </x:c>
      <x:c r="T13" s="2" t="n">
        <x:f>T12+T14</x:f>
        <x:v>1265000</x:v>
      </x:c>
      <x:c r="U13" s="2" t="n">
        <x:f>U12+U14</x:f>
        <x:v>1380000</x:v>
      </x:c>
      <x:c r="V13" s="2" t="n">
        <x:f>V12+V14</x:f>
        <x:v>1495000</x:v>
      </x:c>
      <x:c r="W13" s="2" t="n">
        <x:f>W12+W14</x:f>
        <x:v>1610000</x:v>
      </x:c>
      <x:c r="X13" s="2" t="n">
        <x:f>X12+X14</x:f>
        <x:v>1725000</x:v>
      </x:c>
      <x:c r="Y13" s="2" t="n">
        <x:f>Y12+Y14</x:f>
        <x:v>1840000</x:v>
      </x:c>
      <x:c r="Z13" s="2" t="n">
        <x:f>Z12+Z14</x:f>
        <x:v>1955000</x:v>
      </x:c>
      <x:c r="AA13" s="2" t="n">
        <x:f>AA12+AA14</x:f>
        <x:v>2070000</x:v>
      </x:c>
      <x:c r="AB13" s="2" t="n">
        <x:f>AB12+AB14</x:f>
        <x:v>2185000</x:v>
      </x:c>
      <x:c r="AC13" s="2" t="n">
        <x:f>AC12+AC14</x:f>
        <x:v>2300000</x:v>
      </x:c>
      <x:c r="AD13" s="2" t="n">
        <x:f>AD12+AD14</x:f>
        <x:v>2415000</x:v>
      </x:c>
      <x:c r="AE13" s="2" t="n">
        <x:f>AE12+AE14</x:f>
        <x:v>2530000</x:v>
      </x:c>
      <x:c r="AF13" s="2" t="n">
        <x:f>AF12+AF14</x:f>
        <x:v>2645000</x:v>
      </x:c>
      <x:c r="AG13" s="2" t="n">
        <x:f>AG12+AG14</x:f>
        <x:v>2760000</x:v>
      </x:c>
      <x:c r="AH13" s="2" t="n">
        <x:f>AH12+AH14</x:f>
        <x:v>2760000</x:v>
      </x:c>
      <x:c r="AI13" s="2" t="n">
        <x:f>AI12+AI14</x:f>
        <x:v>2760000</x:v>
      </x:c>
      <x:c r="AJ13" s="2" t="n">
        <x:f>AJ12+AJ14</x:f>
        <x:v>2760000</x:v>
      </x:c>
      <x:c r="AK13" s="2" t="n">
        <x:f>AK12+AK14</x:f>
        <x:v>2760000</x:v>
      </x:c>
      <x:c r="AL13" s="2" t="n">
        <x:f>AL12+AL14</x:f>
        <x:v>2760000</x:v>
      </x:c>
      <x:c r="AM13" s="2" t="n">
        <x:f>AM12+AM14</x:f>
        <x:v>2760000</x:v>
      </x:c>
      <x:c r="AN13" s="3"/>
    </x:row>
    <x:row r="14" ht="24" customHeight="1">
      <x:c r="A14" s="1"/>
      <x:c r="B14" s="1"/>
      <x:c r="C14" s="22" t="str">
        <x:v>平台服务收入</x:v>
      </x:c>
      <x:c r="D14" s="23" t="n">
        <x:f>D6*'单位经济'!$D$6</x:f>
        <x:v>0</x:v>
      </x:c>
      <x:c r="E14" s="23" t="n">
        <x:f>E6*'单位经济'!$D$6</x:f>
        <x:v>0</x:v>
      </x:c>
      <x:c r="F14" s="23" t="n">
        <x:f>F6*'单位经济'!$D$6</x:f>
        <x:v>0</x:v>
      </x:c>
      <x:c r="G14" s="23" t="n">
        <x:f>G6*'单位经济'!$D$6</x:f>
        <x:v>0</x:v>
      </x:c>
      <x:c r="H14" s="23" t="n">
        <x:f>H6*'单位经济'!$D$6</x:f>
        <x:v>18000</x:v>
      </x:c>
      <x:c r="I14" s="23" t="n">
        <x:f>I6*'单位经济'!$D$6</x:f>
        <x:v>30000</x:v>
      </x:c>
      <x:c r="J14" s="23" t="n">
        <x:f>J6*'单位经济'!$D$6</x:f>
        <x:v>42000</x:v>
      </x:c>
      <x:c r="K14" s="23" t="n">
        <x:f>K6*'单位经济'!$D$6</x:f>
        <x:v>54000</x:v>
      </x:c>
      <x:c r="L14" s="23" t="n">
        <x:f>L6*'单位经济'!$D$6</x:f>
        <x:v>66000</x:v>
      </x:c>
      <x:c r="M14" s="23" t="n">
        <x:f>M6*'单位经济'!$D$6</x:f>
        <x:v>78000</x:v>
      </x:c>
      <x:c r="N14" s="23" t="n">
        <x:f>N6*'单位经济'!$D$6</x:f>
        <x:v>90000</x:v>
      </x:c>
      <x:c r="O14" s="23" t="n">
        <x:f>O6*'单位经济'!$D$6</x:f>
        <x:v>102000</x:v>
      </x:c>
      <x:c r="P14" s="23" t="n">
        <x:f>P6*'单位经济'!$D$6</x:f>
        <x:v>114000</x:v>
      </x:c>
      <x:c r="Q14" s="23" t="n">
        <x:f>Q6*'单位经济'!$D$6</x:f>
        <x:v>126000</x:v>
      </x:c>
      <x:c r="R14" s="23" t="n">
        <x:f>R6*'单位经济'!$D$6</x:f>
        <x:v>138000</x:v>
      </x:c>
      <x:c r="S14" s="23" t="n">
        <x:f>S6*'单位经济'!$D$6</x:f>
        <x:v>150000</x:v>
      </x:c>
      <x:c r="T14" s="23" t="n">
        <x:f>T6*'单位经济'!$D$6</x:f>
        <x:v>165000</x:v>
      </x:c>
      <x:c r="U14" s="23" t="n">
        <x:f>U6*'单位经济'!$D$6</x:f>
        <x:v>180000</x:v>
      </x:c>
      <x:c r="V14" s="23" t="n">
        <x:f>V6*'单位经济'!$D$6</x:f>
        <x:v>195000</x:v>
      </x:c>
      <x:c r="W14" s="23" t="n">
        <x:f>W6*'单位经济'!$D$6</x:f>
        <x:v>210000</x:v>
      </x:c>
      <x:c r="X14" s="23" t="n">
        <x:f>X6*'单位经济'!$D$6</x:f>
        <x:v>225000</x:v>
      </x:c>
      <x:c r="Y14" s="23" t="n">
        <x:f>Y6*'单位经济'!$D$6</x:f>
        <x:v>240000</x:v>
      </x:c>
      <x:c r="Z14" s="23" t="n">
        <x:f>Z6*'单位经济'!$D$6</x:f>
        <x:v>255000</x:v>
      </x:c>
      <x:c r="AA14" s="23" t="n">
        <x:f>AA6*'单位经济'!$D$6</x:f>
        <x:v>270000</x:v>
      </x:c>
      <x:c r="AB14" s="23" t="n">
        <x:f>AB6*'单位经济'!$D$6</x:f>
        <x:v>285000</x:v>
      </x:c>
      <x:c r="AC14" s="23" t="n">
        <x:f>AC6*'单位经济'!$D$6</x:f>
        <x:v>300000</x:v>
      </x:c>
      <x:c r="AD14" s="23" t="n">
        <x:f>AD6*'单位经济'!$D$6</x:f>
        <x:v>315000</x:v>
      </x:c>
      <x:c r="AE14" s="23" t="n">
        <x:f>AE6*'单位经济'!$D$6</x:f>
        <x:v>330000</x:v>
      </x:c>
      <x:c r="AF14" s="23" t="n">
        <x:f>AF6*'单位经济'!$D$6</x:f>
        <x:v>345000</x:v>
      </x:c>
      <x:c r="AG14" s="23" t="n">
        <x:f>AG6*'单位经济'!$D$6</x:f>
        <x:v>360000</x:v>
      </x:c>
      <x:c r="AH14" s="23" t="n">
        <x:f>AH6*'单位经济'!$D$6</x:f>
        <x:v>360000</x:v>
      </x:c>
      <x:c r="AI14" s="23" t="n">
        <x:f>AI6*'单位经济'!$D$6</x:f>
        <x:v>360000</x:v>
      </x:c>
      <x:c r="AJ14" s="23" t="n">
        <x:f>AJ6*'单位经济'!$D$6</x:f>
        <x:v>360000</x:v>
      </x:c>
      <x:c r="AK14" s="23" t="n">
        <x:f>AK6*'单位经济'!$D$6</x:f>
        <x:v>360000</x:v>
      </x:c>
      <x:c r="AL14" s="23" t="n">
        <x:f>AL6*'单位经济'!$D$6</x:f>
        <x:v>360000</x:v>
      </x:c>
      <x:c r="AM14" s="23" t="n">
        <x:f>AM6*'单位经济'!$D$6</x:f>
        <x:v>360000</x:v>
      </x:c>
      <x:c r="AN14" s="3"/>
    </x:row>
    <x:row r="15" ht="24" customHeight="1">
      <x:c r="A15" s="1"/>
      <x:c r="B15" s="1"/>
      <x:c r="C15" s="1" t="str">
        <x:v>可变履约成本</x:v>
      </x:c>
      <x:c r="D15" s="15" t="n">
        <x:f>D6*'单位经济'!$D$11</x:f>
        <x:v>0</x:v>
      </x:c>
      <x:c r="E15" s="15" t="n">
        <x:f>E6*'单位经济'!$D$11</x:f>
        <x:v>0</x:v>
      </x:c>
      <x:c r="F15" s="15" t="n">
        <x:f>F6*'单位经济'!$D$11</x:f>
        <x:v>0</x:v>
      </x:c>
      <x:c r="G15" s="15" t="n">
        <x:f>G6*'单位经济'!$D$11</x:f>
        <x:v>0</x:v>
      </x:c>
      <x:c r="H15" s="15" t="n">
        <x:f>H6*'单位经济'!$D$11</x:f>
        <x:v>7200</x:v>
      </x:c>
      <x:c r="I15" s="15" t="n">
        <x:f>I6*'单位经济'!$D$11</x:f>
        <x:v>12000</x:v>
      </x:c>
      <x:c r="J15" s="15" t="n">
        <x:f>J6*'单位经济'!$D$11</x:f>
        <x:v>16800</x:v>
      </x:c>
      <x:c r="K15" s="15" t="n">
        <x:f>K6*'单位经济'!$D$11</x:f>
        <x:v>21600</x:v>
      </x:c>
      <x:c r="L15" s="15" t="n">
        <x:f>L6*'单位经济'!$D$11</x:f>
        <x:v>26400</x:v>
      </x:c>
      <x:c r="M15" s="15" t="n">
        <x:f>M6*'单位经济'!$D$11</x:f>
        <x:v>31200</x:v>
      </x:c>
      <x:c r="N15" s="15" t="n">
        <x:f>N6*'单位经济'!$D$11</x:f>
        <x:v>36000</x:v>
      </x:c>
      <x:c r="O15" s="15" t="n">
        <x:f>O6*'单位经济'!$D$11</x:f>
        <x:v>40800</x:v>
      </x:c>
      <x:c r="P15" s="15" t="n">
        <x:f>P6*'单位经济'!$D$11</x:f>
        <x:v>45600</x:v>
      </x:c>
      <x:c r="Q15" s="15" t="n">
        <x:f>Q6*'单位经济'!$D$11</x:f>
        <x:v>50400</x:v>
      </x:c>
      <x:c r="R15" s="15" t="n">
        <x:f>R6*'单位经济'!$D$11</x:f>
        <x:v>55200</x:v>
      </x:c>
      <x:c r="S15" s="15" t="n">
        <x:f>S6*'单位经济'!$D$11</x:f>
        <x:v>60000</x:v>
      </x:c>
      <x:c r="T15" s="15" t="n">
        <x:f>T6*'单位经济'!$D$11</x:f>
        <x:v>66000</x:v>
      </x:c>
      <x:c r="U15" s="15" t="n">
        <x:f>U6*'单位经济'!$D$11</x:f>
        <x:v>72000</x:v>
      </x:c>
      <x:c r="V15" s="15" t="n">
        <x:f>V6*'单位经济'!$D$11</x:f>
        <x:v>78000</x:v>
      </x:c>
      <x:c r="W15" s="15" t="n">
        <x:f>W6*'单位经济'!$D$11</x:f>
        <x:v>84000</x:v>
      </x:c>
      <x:c r="X15" s="15" t="n">
        <x:f>X6*'单位经济'!$D$11</x:f>
        <x:v>90000</x:v>
      </x:c>
      <x:c r="Y15" s="15" t="n">
        <x:f>Y6*'单位经济'!$D$11</x:f>
        <x:v>96000</x:v>
      </x:c>
      <x:c r="Z15" s="15" t="n">
        <x:f>Z6*'单位经济'!$D$11</x:f>
        <x:v>102000</x:v>
      </x:c>
      <x:c r="AA15" s="15" t="n">
        <x:f>AA6*'单位经济'!$D$11</x:f>
        <x:v>108000</x:v>
      </x:c>
      <x:c r="AB15" s="15" t="n">
        <x:f>AB6*'单位经济'!$D$11</x:f>
        <x:v>114000</x:v>
      </x:c>
      <x:c r="AC15" s="15" t="n">
        <x:f>AC6*'单位经济'!$D$11</x:f>
        <x:v>120000</x:v>
      </x:c>
      <x:c r="AD15" s="15" t="n">
        <x:f>AD6*'单位经济'!$D$11</x:f>
        <x:v>126000</x:v>
      </x:c>
      <x:c r="AE15" s="15" t="n">
        <x:f>AE6*'单位经济'!$D$11</x:f>
        <x:v>132000</x:v>
      </x:c>
      <x:c r="AF15" s="15" t="n">
        <x:f>AF6*'单位经济'!$D$11</x:f>
        <x:v>138000</x:v>
      </x:c>
      <x:c r="AG15" s="15" t="n">
        <x:f>AG6*'单位经济'!$D$11</x:f>
        <x:v>144000</x:v>
      </x:c>
      <x:c r="AH15" s="15" t="n">
        <x:f>AH6*'单位经济'!$D$11</x:f>
        <x:v>144000</x:v>
      </x:c>
      <x:c r="AI15" s="15" t="n">
        <x:f>AI6*'单位经济'!$D$11</x:f>
        <x:v>144000</x:v>
      </x:c>
      <x:c r="AJ15" s="15" t="n">
        <x:f>AJ6*'单位经济'!$D$11</x:f>
        <x:v>144000</x:v>
      </x:c>
      <x:c r="AK15" s="15" t="n">
        <x:f>AK6*'单位经济'!$D$11</x:f>
        <x:v>144000</x:v>
      </x:c>
      <x:c r="AL15" s="15" t="n">
        <x:f>AL6*'单位经济'!$D$11</x:f>
        <x:v>144000</x:v>
      </x:c>
      <x:c r="AM15" s="15" t="n">
        <x:f>AM6*'单位经济'!$D$11</x:f>
        <x:v>144000</x:v>
      </x:c>
      <x:c r="AN15" s="3"/>
    </x:row>
    <x:row r="16" ht="24" customHeight="1">
      <x:c r="A16" s="1"/>
      <x:c r="B16" s="1"/>
      <x:c r="C16" s="1" t="str">
        <x:v>固定履约成本</x:v>
      </x:c>
      <x:c r="D16" s="15" t="n">
        <x:f>IF(D$5&gt;'假设'!$D$25,'假设'!$D$14,0)</x:f>
        <x:v>0</x:v>
      </x:c>
      <x:c r="E16" s="15" t="n">
        <x:f>IF(E$5&gt;'假设'!$D$25,'假设'!$D$14,0)</x:f>
        <x:v>0</x:v>
      </x:c>
      <x:c r="F16" s="15" t="n">
        <x:f>IF(F$5&gt;'假设'!$D$25,'假设'!$D$14,0)</x:f>
        <x:v>0</x:v>
      </x:c>
      <x:c r="G16" s="15" t="n">
        <x:f>IF(G$5&gt;'假设'!$D$25,'假设'!$D$14,0)</x:f>
        <x:v>0</x:v>
      </x:c>
      <x:c r="H16" s="15" t="n">
        <x:f>IF(H$5&gt;'假设'!$D$25,'假设'!$D$14,0)</x:f>
        <x:v>2000</x:v>
      </x:c>
      <x:c r="I16" s="15" t="n">
        <x:f>IF(I$5&gt;'假设'!$D$25,'假设'!$D$14,0)</x:f>
        <x:v>2000</x:v>
      </x:c>
      <x:c r="J16" s="15" t="n">
        <x:f>IF(J$5&gt;'假设'!$D$25,'假设'!$D$14,0)</x:f>
        <x:v>2000</x:v>
      </x:c>
      <x:c r="K16" s="15" t="n">
        <x:f>IF(K$5&gt;'假设'!$D$25,'假设'!$D$14,0)</x:f>
        <x:v>2000</x:v>
      </x:c>
      <x:c r="L16" s="15" t="n">
        <x:f>IF(L$5&gt;'假设'!$D$25,'假设'!$D$14,0)</x:f>
        <x:v>2000</x:v>
      </x:c>
      <x:c r="M16" s="15" t="n">
        <x:f>IF(M$5&gt;'假设'!$D$25,'假设'!$D$14,0)</x:f>
        <x:v>2000</x:v>
      </x:c>
      <x:c r="N16" s="15" t="n">
        <x:f>IF(N$5&gt;'假设'!$D$25,'假设'!$D$14,0)</x:f>
        <x:v>2000</x:v>
      </x:c>
      <x:c r="O16" s="15" t="n">
        <x:f>IF(O$5&gt;'假设'!$D$25,'假设'!$D$14,0)</x:f>
        <x:v>2000</x:v>
      </x:c>
      <x:c r="P16" s="15" t="n">
        <x:f>IF(P$5&gt;'假设'!$D$25,'假设'!$D$14,0)</x:f>
        <x:v>2000</x:v>
      </x:c>
      <x:c r="Q16" s="15" t="n">
        <x:f>IF(Q$5&gt;'假设'!$D$25,'假设'!$D$14,0)</x:f>
        <x:v>2000</x:v>
      </x:c>
      <x:c r="R16" s="15" t="n">
        <x:f>IF(R$5&gt;'假设'!$D$25,'假设'!$D$14,0)</x:f>
        <x:v>2000</x:v>
      </x:c>
      <x:c r="S16" s="15" t="n">
        <x:f>IF(S$5&gt;'假设'!$D$25,'假设'!$D$14,0)</x:f>
        <x:v>2000</x:v>
      </x:c>
      <x:c r="T16" s="15" t="n">
        <x:f>IF(T$5&gt;'假设'!$D$25,'假设'!$D$14,0)</x:f>
        <x:v>2000</x:v>
      </x:c>
      <x:c r="U16" s="15" t="n">
        <x:f>IF(U$5&gt;'假设'!$D$25,'假设'!$D$14,0)</x:f>
        <x:v>2000</x:v>
      </x:c>
      <x:c r="V16" s="15" t="n">
        <x:f>IF(V$5&gt;'假设'!$D$25,'假设'!$D$14,0)</x:f>
        <x:v>2000</x:v>
      </x:c>
      <x:c r="W16" s="15" t="n">
        <x:f>IF(W$5&gt;'假设'!$D$25,'假设'!$D$14,0)</x:f>
        <x:v>2000</x:v>
      </x:c>
      <x:c r="X16" s="15" t="n">
        <x:f>IF(X$5&gt;'假设'!$D$25,'假设'!$D$14,0)</x:f>
        <x:v>2000</x:v>
      </x:c>
      <x:c r="Y16" s="15" t="n">
        <x:f>IF(Y$5&gt;'假设'!$D$25,'假设'!$D$14,0)</x:f>
        <x:v>2000</x:v>
      </x:c>
      <x:c r="Z16" s="15" t="n">
        <x:f>IF(Z$5&gt;'假设'!$D$25,'假设'!$D$14,0)</x:f>
        <x:v>2000</x:v>
      </x:c>
      <x:c r="AA16" s="15" t="n">
        <x:f>IF(AA$5&gt;'假设'!$D$25,'假设'!$D$14,0)</x:f>
        <x:v>2000</x:v>
      </x:c>
      <x:c r="AB16" s="15" t="n">
        <x:f>IF(AB$5&gt;'假设'!$D$25,'假设'!$D$14,0)</x:f>
        <x:v>2000</x:v>
      </x:c>
      <x:c r="AC16" s="15" t="n">
        <x:f>IF(AC$5&gt;'假设'!$D$25,'假设'!$D$14,0)</x:f>
        <x:v>2000</x:v>
      </x:c>
      <x:c r="AD16" s="15" t="n">
        <x:f>IF(AD$5&gt;'假设'!$D$25,'假设'!$D$14,0)</x:f>
        <x:v>2000</x:v>
      </x:c>
      <x:c r="AE16" s="15" t="n">
        <x:f>IF(AE$5&gt;'假设'!$D$25,'假设'!$D$14,0)</x:f>
        <x:v>2000</x:v>
      </x:c>
      <x:c r="AF16" s="15" t="n">
        <x:f>IF(AF$5&gt;'假设'!$D$25,'假设'!$D$14,0)</x:f>
        <x:v>2000</x:v>
      </x:c>
      <x:c r="AG16" s="15" t="n">
        <x:f>IF(AG$5&gt;'假设'!$D$25,'假设'!$D$14,0)</x:f>
        <x:v>2000</x:v>
      </x:c>
      <x:c r="AH16" s="15" t="n">
        <x:f>IF(AH$5&gt;'假设'!$D$25,'假设'!$D$14,0)</x:f>
        <x:v>2000</x:v>
      </x:c>
      <x:c r="AI16" s="15" t="n">
        <x:f>IF(AI$5&gt;'假设'!$D$25,'假设'!$D$14,0)</x:f>
        <x:v>2000</x:v>
      </x:c>
      <x:c r="AJ16" s="15" t="n">
        <x:f>IF(AJ$5&gt;'假设'!$D$25,'假设'!$D$14,0)</x:f>
        <x:v>2000</x:v>
      </x:c>
      <x:c r="AK16" s="15" t="n">
        <x:f>IF(AK$5&gt;'假设'!$D$25,'假设'!$D$14,0)</x:f>
        <x:v>2000</x:v>
      </x:c>
      <x:c r="AL16" s="15" t="n">
        <x:f>IF(AL$5&gt;'假设'!$D$25,'假设'!$D$14,0)</x:f>
        <x:v>2000</x:v>
      </x:c>
      <x:c r="AM16" s="15" t="n">
        <x:f>IF(AM$5&gt;'假设'!$D$25,'假设'!$D$14,0)</x:f>
        <x:v>2000</x:v>
      </x:c>
      <x:c r="AN16" s="3"/>
    </x:row>
    <x:row r="17" ht="24" customHeight="1">
      <x:c r="A17" s="1"/>
      <x:c r="B17" s="1"/>
      <x:c r="C17" s="1" t="str">
        <x:v>销售成本合计</x:v>
      </x:c>
      <x:c r="D17" s="2" t="n">
        <x:f>SUM(D15:D16)</x:f>
        <x:v>0</x:v>
      </x:c>
      <x:c r="E17" s="2" t="n">
        <x:f>SUM(E15:E16)</x:f>
        <x:v>0</x:v>
      </x:c>
      <x:c r="F17" s="2" t="n">
        <x:f>SUM(F15:F16)</x:f>
        <x:v>0</x:v>
      </x:c>
      <x:c r="G17" s="2" t="n">
        <x:f>SUM(G15:G16)</x:f>
        <x:v>0</x:v>
      </x:c>
      <x:c r="H17" s="2" t="n">
        <x:f>SUM(H15:H16)</x:f>
        <x:v>9200</x:v>
      </x:c>
      <x:c r="I17" s="2" t="n">
        <x:f>SUM(I15:I16)</x:f>
        <x:v>14000</x:v>
      </x:c>
      <x:c r="J17" s="2" t="n">
        <x:f>SUM(J15:J16)</x:f>
        <x:v>18800</x:v>
      </x:c>
      <x:c r="K17" s="2" t="n">
        <x:f>SUM(K15:K16)</x:f>
        <x:v>23600</x:v>
      </x:c>
      <x:c r="L17" s="2" t="n">
        <x:f>SUM(L15:L16)</x:f>
        <x:v>28400</x:v>
      </x:c>
      <x:c r="M17" s="2" t="n">
        <x:f>SUM(M15:M16)</x:f>
        <x:v>33200</x:v>
      </x:c>
      <x:c r="N17" s="2" t="n">
        <x:f>SUM(N15:N16)</x:f>
        <x:v>38000</x:v>
      </x:c>
      <x:c r="O17" s="2" t="n">
        <x:f>SUM(O15:O16)</x:f>
        <x:v>42800</x:v>
      </x:c>
      <x:c r="P17" s="2" t="n">
        <x:f>SUM(P15:P16)</x:f>
        <x:v>47600</x:v>
      </x:c>
      <x:c r="Q17" s="2" t="n">
        <x:f>SUM(Q15:Q16)</x:f>
        <x:v>52400</x:v>
      </x:c>
      <x:c r="R17" s="2" t="n">
        <x:f>SUM(R15:R16)</x:f>
        <x:v>57200</x:v>
      </x:c>
      <x:c r="S17" s="2" t="n">
        <x:f>SUM(S15:S16)</x:f>
        <x:v>62000</x:v>
      </x:c>
      <x:c r="T17" s="2" t="n">
        <x:f>SUM(T15:T16)</x:f>
        <x:v>68000</x:v>
      </x:c>
      <x:c r="U17" s="2" t="n">
        <x:f>SUM(U15:U16)</x:f>
        <x:v>74000</x:v>
      </x:c>
      <x:c r="V17" s="2" t="n">
        <x:f>SUM(V15:V16)</x:f>
        <x:v>80000</x:v>
      </x:c>
      <x:c r="W17" s="2" t="n">
        <x:f>SUM(W15:W16)</x:f>
        <x:v>86000</x:v>
      </x:c>
      <x:c r="X17" s="2" t="n">
        <x:f>SUM(X15:X16)</x:f>
        <x:v>92000</x:v>
      </x:c>
      <x:c r="Y17" s="2" t="n">
        <x:f>SUM(Y15:Y16)</x:f>
        <x:v>98000</x:v>
      </x:c>
      <x:c r="Z17" s="2" t="n">
        <x:f>SUM(Z15:Z16)</x:f>
        <x:v>104000</x:v>
      </x:c>
      <x:c r="AA17" s="2" t="n">
        <x:f>SUM(AA15:AA16)</x:f>
        <x:v>110000</x:v>
      </x:c>
      <x:c r="AB17" s="2" t="n">
        <x:f>SUM(AB15:AB16)</x:f>
        <x:v>116000</x:v>
      </x:c>
      <x:c r="AC17" s="2" t="n">
        <x:f>SUM(AC15:AC16)</x:f>
        <x:v>122000</x:v>
      </x:c>
      <x:c r="AD17" s="2" t="n">
        <x:f>SUM(AD15:AD16)</x:f>
        <x:v>128000</x:v>
      </x:c>
      <x:c r="AE17" s="2" t="n">
        <x:f>SUM(AE15:AE16)</x:f>
        <x:v>134000</x:v>
      </x:c>
      <x:c r="AF17" s="2" t="n">
        <x:f>SUM(AF15:AF16)</x:f>
        <x:v>140000</x:v>
      </x:c>
      <x:c r="AG17" s="2" t="n">
        <x:f>SUM(AG15:AG16)</x:f>
        <x:v>146000</x:v>
      </x:c>
      <x:c r="AH17" s="2" t="n">
        <x:f>SUM(AH15:AH16)</x:f>
        <x:v>146000</x:v>
      </x:c>
      <x:c r="AI17" s="2" t="n">
        <x:f>SUM(AI15:AI16)</x:f>
        <x:v>146000</x:v>
      </x:c>
      <x:c r="AJ17" s="2" t="n">
        <x:f>SUM(AJ15:AJ16)</x:f>
        <x:v>146000</x:v>
      </x:c>
      <x:c r="AK17" s="2" t="n">
        <x:f>SUM(AK15:AK16)</x:f>
        <x:v>146000</x:v>
      </x:c>
      <x:c r="AL17" s="2" t="n">
        <x:f>SUM(AL15:AL16)</x:f>
        <x:v>146000</x:v>
      </x:c>
      <x:c r="AM17" s="2" t="n">
        <x:f>SUM(AM15:AM16)</x:f>
        <x:v>146000</x:v>
      </x:c>
      <x:c r="AN17" s="3"/>
    </x:row>
    <x:row r="18" ht="24" customHeight="1">
      <x:c r="A18" s="1"/>
      <x:c r="B18" s="1"/>
      <x:c r="C18" s="22" t="str">
        <x:v>毛利</x:v>
      </x:c>
      <x:c r="D18" s="24" t="n">
        <x:f>D14-D17</x:f>
        <x:v>0</x:v>
      </x:c>
      <x:c r="E18" s="24" t="n">
        <x:f>E14-E17</x:f>
        <x:v>0</x:v>
      </x:c>
      <x:c r="F18" s="24" t="n">
        <x:f>F14-F17</x:f>
        <x:v>0</x:v>
      </x:c>
      <x:c r="G18" s="24" t="n">
        <x:f>G14-G17</x:f>
        <x:v>0</x:v>
      </x:c>
      <x:c r="H18" s="24" t="n">
        <x:f>H14-H17</x:f>
        <x:v>8800</x:v>
      </x:c>
      <x:c r="I18" s="24" t="n">
        <x:f>I14-I17</x:f>
        <x:v>16000</x:v>
      </x:c>
      <x:c r="J18" s="24" t="n">
        <x:f>J14-J17</x:f>
        <x:v>23200</x:v>
      </x:c>
      <x:c r="K18" s="24" t="n">
        <x:f>K14-K17</x:f>
        <x:v>30400</x:v>
      </x:c>
      <x:c r="L18" s="24" t="n">
        <x:f>L14-L17</x:f>
        <x:v>37600</x:v>
      </x:c>
      <x:c r="M18" s="24" t="n">
        <x:f>M14-M17</x:f>
        <x:v>44800</x:v>
      </x:c>
      <x:c r="N18" s="24" t="n">
        <x:f>N14-N17</x:f>
        <x:v>52000</x:v>
      </x:c>
      <x:c r="O18" s="24" t="n">
        <x:f>O14-O17</x:f>
        <x:v>59200</x:v>
      </x:c>
      <x:c r="P18" s="24" t="n">
        <x:f>P14-P17</x:f>
        <x:v>66400</x:v>
      </x:c>
      <x:c r="Q18" s="24" t="n">
        <x:f>Q14-Q17</x:f>
        <x:v>73600</x:v>
      </x:c>
      <x:c r="R18" s="24" t="n">
        <x:f>R14-R17</x:f>
        <x:v>80800</x:v>
      </x:c>
      <x:c r="S18" s="24" t="n">
        <x:f>S14-S17</x:f>
        <x:v>88000</x:v>
      </x:c>
      <x:c r="T18" s="24" t="n">
        <x:f>T14-T17</x:f>
        <x:v>97000</x:v>
      </x:c>
      <x:c r="U18" s="24" t="n">
        <x:f>U14-U17</x:f>
        <x:v>106000</x:v>
      </x:c>
      <x:c r="V18" s="24" t="n">
        <x:f>V14-V17</x:f>
        <x:v>115000</x:v>
      </x:c>
      <x:c r="W18" s="24" t="n">
        <x:f>W14-W17</x:f>
        <x:v>124000</x:v>
      </x:c>
      <x:c r="X18" s="24" t="n">
        <x:f>X14-X17</x:f>
        <x:v>133000</x:v>
      </x:c>
      <x:c r="Y18" s="24" t="n">
        <x:f>Y14-Y17</x:f>
        <x:v>142000</x:v>
      </x:c>
      <x:c r="Z18" s="24" t="n">
        <x:f>Z14-Z17</x:f>
        <x:v>151000</x:v>
      </x:c>
      <x:c r="AA18" s="24" t="n">
        <x:f>AA14-AA17</x:f>
        <x:v>160000</x:v>
      </x:c>
      <x:c r="AB18" s="24" t="n">
        <x:f>AB14-AB17</x:f>
        <x:v>169000</x:v>
      </x:c>
      <x:c r="AC18" s="24" t="n">
        <x:f>AC14-AC17</x:f>
        <x:v>178000</x:v>
      </x:c>
      <x:c r="AD18" s="24" t="n">
        <x:f>AD14-AD17</x:f>
        <x:v>187000</x:v>
      </x:c>
      <x:c r="AE18" s="24" t="n">
        <x:f>AE14-AE17</x:f>
        <x:v>196000</x:v>
      </x:c>
      <x:c r="AF18" s="24" t="n">
        <x:f>AF14-AF17</x:f>
        <x:v>205000</x:v>
      </x:c>
      <x:c r="AG18" s="24" t="n">
        <x:f>AG14-AG17</x:f>
        <x:v>214000</x:v>
      </x:c>
      <x:c r="AH18" s="24" t="n">
        <x:f>AH14-AH17</x:f>
        <x:v>214000</x:v>
      </x:c>
      <x:c r="AI18" s="24" t="n">
        <x:f>AI14-AI17</x:f>
        <x:v>214000</x:v>
      </x:c>
      <x:c r="AJ18" s="24" t="n">
        <x:f>AJ14-AJ17</x:f>
        <x:v>214000</x:v>
      </x:c>
      <x:c r="AK18" s="24" t="n">
        <x:f>AK14-AK17</x:f>
        <x:v>214000</x:v>
      </x:c>
      <x:c r="AL18" s="24" t="n">
        <x:f>AL14-AL17</x:f>
        <x:v>214000</x:v>
      </x:c>
      <x:c r="AM18" s="24" t="n">
        <x:f>AM14-AM17</x:f>
        <x:v>214000</x:v>
      </x:c>
      <x:c r="AN18" s="3"/>
    </x:row>
    <x:row r="19" ht="24" customHeight="1">
      <x:c r="A19" s="1"/>
      <x:c r="B19" s="1"/>
      <x:c r="C19" s="1" t="str">
        <x:v>毛利率</x:v>
      </x:c>
      <x:c r="D19" s="17" t="str">
        <x:f>IF(D14=0,"不适用",D18/D14)</x:f>
        <x:v>不适用</x:v>
      </x:c>
      <x:c r="E19" s="17" t="str">
        <x:f>IF(E14=0,"不适用",E18/E14)</x:f>
        <x:v>不适用</x:v>
      </x:c>
      <x:c r="F19" s="17" t="str">
        <x:f>IF(F14=0,"不适用",F18/F14)</x:f>
        <x:v>不适用</x:v>
      </x:c>
      <x:c r="G19" s="17" t="str">
        <x:f>IF(G14=0,"不适用",G18/G14)</x:f>
        <x:v>不适用</x:v>
      </x:c>
      <x:c r="H19" s="17" t="n">
        <x:f>IF(H14=0,"不适用",H18/H14)</x:f>
        <x:v>0.4888888888888889</x:v>
      </x:c>
      <x:c r="I19" s="17" t="n">
        <x:f>IF(I14=0,"不适用",I18/I14)</x:f>
        <x:v>0.5333333333333333</x:v>
      </x:c>
      <x:c r="J19" s="17" t="n">
        <x:f>IF(J14=0,"不适用",J18/J14)</x:f>
        <x:v>0.5523809523809524</x:v>
      </x:c>
      <x:c r="K19" s="17" t="n">
        <x:f>IF(K14=0,"不适用",K18/K14)</x:f>
        <x:v>0.562962962962963</x:v>
      </x:c>
      <x:c r="L19" s="17" t="n">
        <x:f>IF(L14=0,"不适用",L18/L14)</x:f>
        <x:v>0.5696969696969697</x:v>
      </x:c>
      <x:c r="M19" s="17" t="n">
        <x:f>IF(M14=0,"不适用",M18/M14)</x:f>
        <x:v>0.5743589743589743</x:v>
      </x:c>
      <x:c r="N19" s="17" t="n">
        <x:f>IF(N14=0,"不适用",N18/N14)</x:f>
        <x:v>0.5777777777777777</x:v>
      </x:c>
      <x:c r="O19" s="17" t="n">
        <x:f>IF(O14=0,"不适用",O18/O14)</x:f>
        <x:v>0.5803921568627451</x:v>
      </x:c>
      <x:c r="P19" s="17" t="n">
        <x:f>IF(P14=0,"不适用",P18/P14)</x:f>
        <x:v>0.5824561403508772</x:v>
      </x:c>
      <x:c r="Q19" s="17" t="n">
        <x:f>IF(Q14=0,"不适用",Q18/Q14)</x:f>
        <x:v>0.5841269841269842</x:v>
      </x:c>
      <x:c r="R19" s="17" t="n">
        <x:f>IF(R14=0,"不适用",R18/R14)</x:f>
        <x:v>0.5855072463768116</x:v>
      </x:c>
      <x:c r="S19" s="17" t="n">
        <x:f>IF(S14=0,"不适用",S18/S14)</x:f>
        <x:v>0.5866666666666667</x:v>
      </x:c>
      <x:c r="T19" s="17" t="n">
        <x:f>IF(T14=0,"不适用",T18/T14)</x:f>
        <x:v>0.5878787878787879</x:v>
      </x:c>
      <x:c r="U19" s="17" t="n">
        <x:f>IF(U14=0,"不适用",U18/U14)</x:f>
        <x:v>0.5888888888888889</x:v>
      </x:c>
      <x:c r="V19" s="17" t="n">
        <x:f>IF(V14=0,"不适用",V18/V14)</x:f>
        <x:v>0.5897435897435898</x:v>
      </x:c>
      <x:c r="W19" s="17" t="n">
        <x:f>IF(W14=0,"不适用",W18/W14)</x:f>
        <x:v>0.5904761904761905</x:v>
      </x:c>
      <x:c r="X19" s="17" t="n">
        <x:f>IF(X14=0,"不适用",X18/X14)</x:f>
        <x:v>0.5911111111111111</x:v>
      </x:c>
      <x:c r="Y19" s="17" t="n">
        <x:f>IF(Y14=0,"不适用",Y18/Y14)</x:f>
        <x:v>0.5916666666666667</x:v>
      </x:c>
      <x:c r="Z19" s="17" t="n">
        <x:f>IF(Z14=0,"不适用",Z18/Z14)</x:f>
        <x:v>0.592156862745098</x:v>
      </x:c>
      <x:c r="AA19" s="17" t="n">
        <x:f>IF(AA14=0,"不适用",AA18/AA14)</x:f>
        <x:v>0.5925925925925926</x:v>
      </x:c>
      <x:c r="AB19" s="17" t="n">
        <x:f>IF(AB14=0,"不适用",AB18/AB14)</x:f>
        <x:v>0.5929824561403508</x:v>
      </x:c>
      <x:c r="AC19" s="17" t="n">
        <x:f>IF(AC14=0,"不适用",AC18/AC14)</x:f>
        <x:v>0.5933333333333334</x:v>
      </x:c>
      <x:c r="AD19" s="17" t="n">
        <x:f>IF(AD14=0,"不适用",AD18/AD14)</x:f>
        <x:v>0.5936507936507937</x:v>
      </x:c>
      <x:c r="AE19" s="17" t="n">
        <x:f>IF(AE14=0,"不适用",AE18/AE14)</x:f>
        <x:v>0.593939393939394</x:v>
      </x:c>
      <x:c r="AF19" s="17" t="n">
        <x:f>IF(AF14=0,"不适用",AF18/AF14)</x:f>
        <x:v>0.5942028985507246</x:v>
      </x:c>
      <x:c r="AG19" s="17" t="n">
        <x:f>IF(AG14=0,"不适用",AG18/AG14)</x:f>
        <x:v>0.5944444444444444</x:v>
      </x:c>
      <x:c r="AH19" s="17" t="n">
        <x:f>IF(AH14=0,"不适用",AH18/AH14)</x:f>
        <x:v>0.5944444444444444</x:v>
      </x:c>
      <x:c r="AI19" s="17" t="n">
        <x:f>IF(AI14=0,"不适用",AI18/AI14)</x:f>
        <x:v>0.5944444444444444</x:v>
      </x:c>
      <x:c r="AJ19" s="17" t="n">
        <x:f>IF(AJ14=0,"不适用",AJ18/AJ14)</x:f>
        <x:v>0.5944444444444444</x:v>
      </x:c>
      <x:c r="AK19" s="17" t="n">
        <x:f>IF(AK14=0,"不适用",AK18/AK14)</x:f>
        <x:v>0.5944444444444444</x:v>
      </x:c>
      <x:c r="AL19" s="17" t="n">
        <x:f>IF(AL14=0,"不适用",AL18/AL14)</x:f>
        <x:v>0.5944444444444444</x:v>
      </x:c>
      <x:c r="AM19" s="17" t="n">
        <x:f>IF(AM14=0,"不适用",AM18/AM14)</x:f>
        <x:v>0.5944444444444444</x:v>
      </x:c>
      <x:c r="AN19" s="3"/>
    </x:row>
    <x:row r="20" ht="24" customHeight="1">
      <x:c r="A20" s="1"/>
      <x:c r="B20" s="1"/>
      <x:c r="C20" s="1" t="str">
        <x:v>活动获取佣金</x:v>
      </x:c>
      <x:c r="D20" s="15" t="n">
        <x:f>D6*'假设'!$D$13</x:f>
        <x:v>0</x:v>
      </x:c>
      <x:c r="E20" s="15" t="n">
        <x:f>E6*'假设'!$D$13</x:f>
        <x:v>0</x:v>
      </x:c>
      <x:c r="F20" s="15" t="n">
        <x:f>F6*'假设'!$D$13</x:f>
        <x:v>0</x:v>
      </x:c>
      <x:c r="G20" s="15" t="n">
        <x:f>G6*'假设'!$D$13</x:f>
        <x:v>0</x:v>
      </x:c>
      <x:c r="H20" s="15" t="n">
        <x:f>H6*'假设'!$D$13</x:f>
        <x:v>1800</x:v>
      </x:c>
      <x:c r="I20" s="15" t="n">
        <x:f>I6*'假设'!$D$13</x:f>
        <x:v>3000</x:v>
      </x:c>
      <x:c r="J20" s="15" t="n">
        <x:f>J6*'假设'!$D$13</x:f>
        <x:v>4200</x:v>
      </x:c>
      <x:c r="K20" s="15" t="n">
        <x:f>K6*'假设'!$D$13</x:f>
        <x:v>5400</x:v>
      </x:c>
      <x:c r="L20" s="15" t="n">
        <x:f>L6*'假设'!$D$13</x:f>
        <x:v>6600</x:v>
      </x:c>
      <x:c r="M20" s="15" t="n">
        <x:f>M6*'假设'!$D$13</x:f>
        <x:v>7800</x:v>
      </x:c>
      <x:c r="N20" s="15" t="n">
        <x:f>N6*'假设'!$D$13</x:f>
        <x:v>9000</x:v>
      </x:c>
      <x:c r="O20" s="15" t="n">
        <x:f>O6*'假设'!$D$13</x:f>
        <x:v>10200</x:v>
      </x:c>
      <x:c r="P20" s="15" t="n">
        <x:f>P6*'假设'!$D$13</x:f>
        <x:v>11400</x:v>
      </x:c>
      <x:c r="Q20" s="15" t="n">
        <x:f>Q6*'假设'!$D$13</x:f>
        <x:v>12600</x:v>
      </x:c>
      <x:c r="R20" s="15" t="n">
        <x:f>R6*'假设'!$D$13</x:f>
        <x:v>13800</x:v>
      </x:c>
      <x:c r="S20" s="15" t="n">
        <x:f>S6*'假设'!$D$13</x:f>
        <x:v>15000</x:v>
      </x:c>
      <x:c r="T20" s="15" t="n">
        <x:f>T6*'假设'!$D$13</x:f>
        <x:v>16500</x:v>
      </x:c>
      <x:c r="U20" s="15" t="n">
        <x:f>U6*'假设'!$D$13</x:f>
        <x:v>18000</x:v>
      </x:c>
      <x:c r="V20" s="15" t="n">
        <x:f>V6*'假设'!$D$13</x:f>
        <x:v>19500</x:v>
      </x:c>
      <x:c r="W20" s="15" t="n">
        <x:f>W6*'假设'!$D$13</x:f>
        <x:v>21000</x:v>
      </x:c>
      <x:c r="X20" s="15" t="n">
        <x:f>X6*'假设'!$D$13</x:f>
        <x:v>22500</x:v>
      </x:c>
      <x:c r="Y20" s="15" t="n">
        <x:f>Y6*'假设'!$D$13</x:f>
        <x:v>24000</x:v>
      </x:c>
      <x:c r="Z20" s="15" t="n">
        <x:f>Z6*'假设'!$D$13</x:f>
        <x:v>25500</x:v>
      </x:c>
      <x:c r="AA20" s="15" t="n">
        <x:f>AA6*'假设'!$D$13</x:f>
        <x:v>27000</x:v>
      </x:c>
      <x:c r="AB20" s="15" t="n">
        <x:f>AB6*'假设'!$D$13</x:f>
        <x:v>28500</x:v>
      </x:c>
      <x:c r="AC20" s="15" t="n">
        <x:f>AC6*'假设'!$D$13</x:f>
        <x:v>30000</x:v>
      </x:c>
      <x:c r="AD20" s="15" t="n">
        <x:f>AD6*'假设'!$D$13</x:f>
        <x:v>31500</x:v>
      </x:c>
      <x:c r="AE20" s="15" t="n">
        <x:f>AE6*'假设'!$D$13</x:f>
        <x:v>33000</x:v>
      </x:c>
      <x:c r="AF20" s="15" t="n">
        <x:f>AF6*'假设'!$D$13</x:f>
        <x:v>34500</x:v>
      </x:c>
      <x:c r="AG20" s="15" t="n">
        <x:f>AG6*'假设'!$D$13</x:f>
        <x:v>36000</x:v>
      </x:c>
      <x:c r="AH20" s="15" t="n">
        <x:f>AH6*'假设'!$D$13</x:f>
        <x:v>36000</x:v>
      </x:c>
      <x:c r="AI20" s="15" t="n">
        <x:f>AI6*'假设'!$D$13</x:f>
        <x:v>36000</x:v>
      </x:c>
      <x:c r="AJ20" s="15" t="n">
        <x:f>AJ6*'假设'!$D$13</x:f>
        <x:v>36000</x:v>
      </x:c>
      <x:c r="AK20" s="15" t="n">
        <x:f>AK6*'假设'!$D$13</x:f>
        <x:v>36000</x:v>
      </x:c>
      <x:c r="AL20" s="15" t="n">
        <x:f>AL6*'假设'!$D$13</x:f>
        <x:v>36000</x:v>
      </x:c>
      <x:c r="AM20" s="15" t="n">
        <x:f>AM6*'假设'!$D$13</x:f>
        <x:v>36000</x:v>
      </x:c>
      <x:c r="AN20" s="3"/>
    </x:row>
    <x:row r="21" ht="24" customHeight="1">
      <x:c r="A21" s="1"/>
      <x:c r="B21" s="1"/>
      <x:c r="C21" s="22" t="str">
        <x:v>贡献（CAC前）</x:v>
      </x:c>
      <x:c r="D21" s="24" t="n">
        <x:f>D14-D15-D20</x:f>
        <x:v>0</x:v>
      </x:c>
      <x:c r="E21" s="24" t="n">
        <x:f>E14-E15-E20</x:f>
        <x:v>0</x:v>
      </x:c>
      <x:c r="F21" s="24" t="n">
        <x:f>F14-F15-F20</x:f>
        <x:v>0</x:v>
      </x:c>
      <x:c r="G21" s="24" t="n">
        <x:f>G14-G15-G20</x:f>
        <x:v>0</x:v>
      </x:c>
      <x:c r="H21" s="24" t="n">
        <x:f>H14-H15-H20</x:f>
        <x:v>9000</x:v>
      </x:c>
      <x:c r="I21" s="24" t="n">
        <x:f>I14-I15-I20</x:f>
        <x:v>15000</x:v>
      </x:c>
      <x:c r="J21" s="24" t="n">
        <x:f>J14-J15-J20</x:f>
        <x:v>21000</x:v>
      </x:c>
      <x:c r="K21" s="24" t="n">
        <x:f>K14-K15-K20</x:f>
        <x:v>27000</x:v>
      </x:c>
      <x:c r="L21" s="24" t="n">
        <x:f>L14-L15-L20</x:f>
        <x:v>33000</x:v>
      </x:c>
      <x:c r="M21" s="24" t="n">
        <x:f>M14-M15-M20</x:f>
        <x:v>39000</x:v>
      </x:c>
      <x:c r="N21" s="24" t="n">
        <x:f>N14-N15-N20</x:f>
        <x:v>45000</x:v>
      </x:c>
      <x:c r="O21" s="24" t="n">
        <x:f>O14-O15-O20</x:f>
        <x:v>51000</x:v>
      </x:c>
      <x:c r="P21" s="24" t="n">
        <x:f>P14-P15-P20</x:f>
        <x:v>57000</x:v>
      </x:c>
      <x:c r="Q21" s="24" t="n">
        <x:f>Q14-Q15-Q20</x:f>
        <x:v>63000</x:v>
      </x:c>
      <x:c r="R21" s="24" t="n">
        <x:f>R14-R15-R20</x:f>
        <x:v>69000</x:v>
      </x:c>
      <x:c r="S21" s="24" t="n">
        <x:f>S14-S15-S20</x:f>
        <x:v>75000</x:v>
      </x:c>
      <x:c r="T21" s="24" t="n">
        <x:f>T14-T15-T20</x:f>
        <x:v>82500</x:v>
      </x:c>
      <x:c r="U21" s="24" t="n">
        <x:f>U14-U15-U20</x:f>
        <x:v>90000</x:v>
      </x:c>
      <x:c r="V21" s="24" t="n">
        <x:f>V14-V15-V20</x:f>
        <x:v>97500</x:v>
      </x:c>
      <x:c r="W21" s="24" t="n">
        <x:f>W14-W15-W20</x:f>
        <x:v>105000</x:v>
      </x:c>
      <x:c r="X21" s="24" t="n">
        <x:f>X14-X15-X20</x:f>
        <x:v>112500</x:v>
      </x:c>
      <x:c r="Y21" s="24" t="n">
        <x:f>Y14-Y15-Y20</x:f>
        <x:v>120000</x:v>
      </x:c>
      <x:c r="Z21" s="24" t="n">
        <x:f>Z14-Z15-Z20</x:f>
        <x:v>127500</x:v>
      </x:c>
      <x:c r="AA21" s="24" t="n">
        <x:f>AA14-AA15-AA20</x:f>
        <x:v>135000</x:v>
      </x:c>
      <x:c r="AB21" s="24" t="n">
        <x:f>AB14-AB15-AB20</x:f>
        <x:v>142500</x:v>
      </x:c>
      <x:c r="AC21" s="24" t="n">
        <x:f>AC14-AC15-AC20</x:f>
        <x:v>150000</x:v>
      </x:c>
      <x:c r="AD21" s="24" t="n">
        <x:f>AD14-AD15-AD20</x:f>
        <x:v>157500</x:v>
      </x:c>
      <x:c r="AE21" s="24" t="n">
        <x:f>AE14-AE15-AE20</x:f>
        <x:v>165000</x:v>
      </x:c>
      <x:c r="AF21" s="24" t="n">
        <x:f>AF14-AF15-AF20</x:f>
        <x:v>172500</x:v>
      </x:c>
      <x:c r="AG21" s="24" t="n">
        <x:f>AG14-AG15-AG20</x:f>
        <x:v>180000</x:v>
      </x:c>
      <x:c r="AH21" s="24" t="n">
        <x:f>AH14-AH15-AH20</x:f>
        <x:v>180000</x:v>
      </x:c>
      <x:c r="AI21" s="24" t="n">
        <x:f>AI14-AI15-AI20</x:f>
        <x:v>180000</x:v>
      </x:c>
      <x:c r="AJ21" s="24" t="n">
        <x:f>AJ14-AJ15-AJ20</x:f>
        <x:v>180000</x:v>
      </x:c>
      <x:c r="AK21" s="24" t="n">
        <x:f>AK14-AK15-AK20</x:f>
        <x:v>180000</x:v>
      </x:c>
      <x:c r="AL21" s="24" t="n">
        <x:f>AL14-AL15-AL20</x:f>
        <x:v>180000</x:v>
      </x:c>
      <x:c r="AM21" s="24" t="n">
        <x:f>AM14-AM15-AM20</x:f>
        <x:v>180000</x:v>
      </x:c>
      <x:c r="AN21" s="3"/>
    </x:row>
    <x:row r="22" ht="24" customHeight="1">
      <x:c r="A22" s="1"/>
      <x:c r="B22" s="1"/>
      <x:c r="C22" s="1" t="str">
        <x:v>固定非履约支出</x:v>
      </x:c>
      <x:c r="D22" s="15" t="n">
        <x:f>IF(D$5&gt;'假设'!$D$25,'假设'!$D$15,0)</x:f>
        <x:v>0</x:v>
      </x:c>
      <x:c r="E22" s="15" t="n">
        <x:f>IF(E$5&gt;'假设'!$D$25,'假设'!$D$15,0)</x:f>
        <x:v>0</x:v>
      </x:c>
      <x:c r="F22" s="15" t="n">
        <x:f>IF(F$5&gt;'假设'!$D$25,'假设'!$D$15,0)</x:f>
        <x:v>0</x:v>
      </x:c>
      <x:c r="G22" s="15" t="n">
        <x:f>IF(G$5&gt;'假设'!$D$25,'假设'!$D$15,0)</x:f>
        <x:v>0</x:v>
      </x:c>
      <x:c r="H22" s="15" t="n">
        <x:f>IF(H$5&gt;'假设'!$D$25,'假设'!$D$15,0)</x:f>
        <x:v>15000</x:v>
      </x:c>
      <x:c r="I22" s="15" t="n">
        <x:f>IF(I$5&gt;'假设'!$D$25,'假设'!$D$15,0)</x:f>
        <x:v>15000</x:v>
      </x:c>
      <x:c r="J22" s="15" t="n">
        <x:f>IF(J$5&gt;'假设'!$D$25,'假设'!$D$15,0)</x:f>
        <x:v>15000</x:v>
      </x:c>
      <x:c r="K22" s="15" t="n">
        <x:f>IF(K$5&gt;'假设'!$D$25,'假设'!$D$15,0)</x:f>
        <x:v>15000</x:v>
      </x:c>
      <x:c r="L22" s="15" t="n">
        <x:f>IF(L$5&gt;'假设'!$D$25,'假设'!$D$15,0)</x:f>
        <x:v>15000</x:v>
      </x:c>
      <x:c r="M22" s="15" t="n">
        <x:f>IF(M$5&gt;'假设'!$D$25,'假设'!$D$15,0)</x:f>
        <x:v>15000</x:v>
      </x:c>
      <x:c r="N22" s="15" t="n">
        <x:f>IF(N$5&gt;'假设'!$D$25,'假设'!$D$15,0)</x:f>
        <x:v>15000</x:v>
      </x:c>
      <x:c r="O22" s="15" t="n">
        <x:f>IF(O$5&gt;'假设'!$D$25,'假设'!$D$15,0)</x:f>
        <x:v>15000</x:v>
      </x:c>
      <x:c r="P22" s="15" t="n">
        <x:f>IF(P$5&gt;'假设'!$D$25,'假设'!$D$15,0)</x:f>
        <x:v>15000</x:v>
      </x:c>
      <x:c r="Q22" s="15" t="n">
        <x:f>IF(Q$5&gt;'假设'!$D$25,'假设'!$D$15,0)</x:f>
        <x:v>15000</x:v>
      </x:c>
      <x:c r="R22" s="15" t="n">
        <x:f>IF(R$5&gt;'假设'!$D$25,'假设'!$D$15,0)</x:f>
        <x:v>15000</x:v>
      </x:c>
      <x:c r="S22" s="15" t="n">
        <x:f>IF(S$5&gt;'假设'!$D$25,'假设'!$D$15,0)</x:f>
        <x:v>15000</x:v>
      </x:c>
      <x:c r="T22" s="15" t="n">
        <x:f>IF(T$5&gt;'假设'!$D$25,'假设'!$D$15,0)</x:f>
        <x:v>15000</x:v>
      </x:c>
      <x:c r="U22" s="15" t="n">
        <x:f>IF(U$5&gt;'假设'!$D$25,'假设'!$D$15,0)</x:f>
        <x:v>15000</x:v>
      </x:c>
      <x:c r="V22" s="15" t="n">
        <x:f>IF(V$5&gt;'假设'!$D$25,'假设'!$D$15,0)</x:f>
        <x:v>15000</x:v>
      </x:c>
      <x:c r="W22" s="15" t="n">
        <x:f>IF(W$5&gt;'假设'!$D$25,'假设'!$D$15,0)</x:f>
        <x:v>15000</x:v>
      </x:c>
      <x:c r="X22" s="15" t="n">
        <x:f>IF(X$5&gt;'假设'!$D$25,'假设'!$D$15,0)</x:f>
        <x:v>15000</x:v>
      </x:c>
      <x:c r="Y22" s="15" t="n">
        <x:f>IF(Y$5&gt;'假设'!$D$25,'假设'!$D$15,0)</x:f>
        <x:v>15000</x:v>
      </x:c>
      <x:c r="Z22" s="15" t="n">
        <x:f>IF(Z$5&gt;'假设'!$D$25,'假设'!$D$15,0)</x:f>
        <x:v>15000</x:v>
      </x:c>
      <x:c r="AA22" s="15" t="n">
        <x:f>IF(AA$5&gt;'假设'!$D$25,'假设'!$D$15,0)</x:f>
        <x:v>15000</x:v>
      </x:c>
      <x:c r="AB22" s="15" t="n">
        <x:f>IF(AB$5&gt;'假设'!$D$25,'假设'!$D$15,0)</x:f>
        <x:v>15000</x:v>
      </x:c>
      <x:c r="AC22" s="15" t="n">
        <x:f>IF(AC$5&gt;'假设'!$D$25,'假设'!$D$15,0)</x:f>
        <x:v>15000</x:v>
      </x:c>
      <x:c r="AD22" s="15" t="n">
        <x:f>IF(AD$5&gt;'假设'!$D$25,'假设'!$D$15,0)</x:f>
        <x:v>15000</x:v>
      </x:c>
      <x:c r="AE22" s="15" t="n">
        <x:f>IF(AE$5&gt;'假设'!$D$25,'假设'!$D$15,0)</x:f>
        <x:v>15000</x:v>
      </x:c>
      <x:c r="AF22" s="15" t="n">
        <x:f>IF(AF$5&gt;'假设'!$D$25,'假设'!$D$15,0)</x:f>
        <x:v>15000</x:v>
      </x:c>
      <x:c r="AG22" s="15" t="n">
        <x:f>IF(AG$5&gt;'假设'!$D$25,'假设'!$D$15,0)</x:f>
        <x:v>15000</x:v>
      </x:c>
      <x:c r="AH22" s="15" t="n">
        <x:f>IF(AH$5&gt;'假设'!$D$25,'假设'!$D$15,0)</x:f>
        <x:v>15000</x:v>
      </x:c>
      <x:c r="AI22" s="15" t="n">
        <x:f>IF(AI$5&gt;'假设'!$D$25,'假设'!$D$15,0)</x:f>
        <x:v>15000</x:v>
      </x:c>
      <x:c r="AJ22" s="15" t="n">
        <x:f>IF(AJ$5&gt;'假设'!$D$25,'假设'!$D$15,0)</x:f>
        <x:v>15000</x:v>
      </x:c>
      <x:c r="AK22" s="15" t="n">
        <x:f>IF(AK$5&gt;'假设'!$D$25,'假设'!$D$15,0)</x:f>
        <x:v>15000</x:v>
      </x:c>
      <x:c r="AL22" s="15" t="n">
        <x:f>IF(AL$5&gt;'假设'!$D$25,'假设'!$D$15,0)</x:f>
        <x:v>15000</x:v>
      </x:c>
      <x:c r="AM22" s="15" t="n">
        <x:f>IF(AM$5&gt;'假设'!$D$25,'假设'!$D$15,0)</x:f>
        <x:v>15000</x:v>
      </x:c>
      <x:c r="AN22" s="3"/>
    </x:row>
    <x:row r="23" ht="24" customHeight="1">
      <x:c r="A23" s="1"/>
      <x:c r="B23" s="1"/>
      <x:c r="C23" s="1" t="str">
        <x:v>建设期运营支出</x:v>
      </x:c>
      <x:c r="D23" s="15" t="n">
        <x:f>IF(D$5&lt;='假设'!$D$25,'假设'!$D$18,0)</x:f>
        <x:v>12000</x:v>
      </x:c>
      <x:c r="E23" s="15" t="n">
        <x:f>IF(E$5&lt;='假设'!$D$25,'假设'!$D$18,0)</x:f>
        <x:v>12000</x:v>
      </x:c>
      <x:c r="F23" s="15" t="n">
        <x:f>IF(F$5&lt;='假设'!$D$25,'假设'!$D$18,0)</x:f>
        <x:v>12000</x:v>
      </x:c>
      <x:c r="G23" s="15" t="n">
        <x:f>IF(G$5&lt;='假设'!$D$25,'假设'!$D$18,0)</x:f>
        <x:v>12000</x:v>
      </x:c>
      <x:c r="H23" s="15" t="n">
        <x:f>IF(H$5&lt;='假设'!$D$25,'假设'!$D$18,0)</x:f>
        <x:v>0</x:v>
      </x:c>
      <x:c r="I23" s="15" t="n">
        <x:f>IF(I$5&lt;='假设'!$D$25,'假设'!$D$18,0)</x:f>
        <x:v>0</x:v>
      </x:c>
      <x:c r="J23" s="15" t="n">
        <x:f>IF(J$5&lt;='假设'!$D$25,'假设'!$D$18,0)</x:f>
        <x:v>0</x:v>
      </x:c>
      <x:c r="K23" s="15" t="n">
        <x:f>IF(K$5&lt;='假设'!$D$25,'假设'!$D$18,0)</x:f>
        <x:v>0</x:v>
      </x:c>
      <x:c r="L23" s="15" t="n">
        <x:f>IF(L$5&lt;='假设'!$D$25,'假设'!$D$18,0)</x:f>
        <x:v>0</x:v>
      </x:c>
      <x:c r="M23" s="15" t="n">
        <x:f>IF(M$5&lt;='假设'!$D$25,'假设'!$D$18,0)</x:f>
        <x:v>0</x:v>
      </x:c>
      <x:c r="N23" s="15" t="n">
        <x:f>IF(N$5&lt;='假设'!$D$25,'假设'!$D$18,0)</x:f>
        <x:v>0</x:v>
      </x:c>
      <x:c r="O23" s="15" t="n">
        <x:f>IF(O$5&lt;='假设'!$D$25,'假设'!$D$18,0)</x:f>
        <x:v>0</x:v>
      </x:c>
      <x:c r="P23" s="15" t="n">
        <x:f>IF(P$5&lt;='假设'!$D$25,'假设'!$D$18,0)</x:f>
        <x:v>0</x:v>
      </x:c>
      <x:c r="Q23" s="15" t="n">
        <x:f>IF(Q$5&lt;='假设'!$D$25,'假设'!$D$18,0)</x:f>
        <x:v>0</x:v>
      </x:c>
      <x:c r="R23" s="15" t="n">
        <x:f>IF(R$5&lt;='假设'!$D$25,'假设'!$D$18,0)</x:f>
        <x:v>0</x:v>
      </x:c>
      <x:c r="S23" s="15" t="n">
        <x:f>IF(S$5&lt;='假设'!$D$25,'假设'!$D$18,0)</x:f>
        <x:v>0</x:v>
      </x:c>
      <x:c r="T23" s="15" t="n">
        <x:f>IF(T$5&lt;='假设'!$D$25,'假设'!$D$18,0)</x:f>
        <x:v>0</x:v>
      </x:c>
      <x:c r="U23" s="15" t="n">
        <x:f>IF(U$5&lt;='假设'!$D$25,'假设'!$D$18,0)</x:f>
        <x:v>0</x:v>
      </x:c>
      <x:c r="V23" s="15" t="n">
        <x:f>IF(V$5&lt;='假设'!$D$25,'假设'!$D$18,0)</x:f>
        <x:v>0</x:v>
      </x:c>
      <x:c r="W23" s="15" t="n">
        <x:f>IF(W$5&lt;='假设'!$D$25,'假设'!$D$18,0)</x:f>
        <x:v>0</x:v>
      </x:c>
      <x:c r="X23" s="15" t="n">
        <x:f>IF(X$5&lt;='假设'!$D$25,'假设'!$D$18,0)</x:f>
        <x:v>0</x:v>
      </x:c>
      <x:c r="Y23" s="15" t="n">
        <x:f>IF(Y$5&lt;='假设'!$D$25,'假设'!$D$18,0)</x:f>
        <x:v>0</x:v>
      </x:c>
      <x:c r="Z23" s="15" t="n">
        <x:f>IF(Z$5&lt;='假设'!$D$25,'假设'!$D$18,0)</x:f>
        <x:v>0</x:v>
      </x:c>
      <x:c r="AA23" s="15" t="n">
        <x:f>IF(AA$5&lt;='假设'!$D$25,'假设'!$D$18,0)</x:f>
        <x:v>0</x:v>
      </x:c>
      <x:c r="AB23" s="15" t="n">
        <x:f>IF(AB$5&lt;='假设'!$D$25,'假设'!$D$18,0)</x:f>
        <x:v>0</x:v>
      </x:c>
      <x:c r="AC23" s="15" t="n">
        <x:f>IF(AC$5&lt;='假设'!$D$25,'假设'!$D$18,0)</x:f>
        <x:v>0</x:v>
      </x:c>
      <x:c r="AD23" s="15" t="n">
        <x:f>IF(AD$5&lt;='假设'!$D$25,'假设'!$D$18,0)</x:f>
        <x:v>0</x:v>
      </x:c>
      <x:c r="AE23" s="15" t="n">
        <x:f>IF(AE$5&lt;='假设'!$D$25,'假设'!$D$18,0)</x:f>
        <x:v>0</x:v>
      </x:c>
      <x:c r="AF23" s="15" t="n">
        <x:f>IF(AF$5&lt;='假设'!$D$25,'假设'!$D$18,0)</x:f>
        <x:v>0</x:v>
      </x:c>
      <x:c r="AG23" s="15" t="n">
        <x:f>IF(AG$5&lt;='假设'!$D$25,'假设'!$D$18,0)</x:f>
        <x:v>0</x:v>
      </x:c>
      <x:c r="AH23" s="15" t="n">
        <x:f>IF(AH$5&lt;='假设'!$D$25,'假设'!$D$18,0)</x:f>
        <x:v>0</x:v>
      </x:c>
      <x:c r="AI23" s="15" t="n">
        <x:f>IF(AI$5&lt;='假设'!$D$25,'假设'!$D$18,0)</x:f>
        <x:v>0</x:v>
      </x:c>
      <x:c r="AJ23" s="15" t="n">
        <x:f>IF(AJ$5&lt;='假设'!$D$25,'假设'!$D$18,0)</x:f>
        <x:v>0</x:v>
      </x:c>
      <x:c r="AK23" s="15" t="n">
        <x:f>IF(AK$5&lt;='假设'!$D$25,'假设'!$D$18,0)</x:f>
        <x:v>0</x:v>
      </x:c>
      <x:c r="AL23" s="15" t="n">
        <x:f>IF(AL$5&lt;='假设'!$D$25,'假设'!$D$18,0)</x:f>
        <x:v>0</x:v>
      </x:c>
      <x:c r="AM23" s="15" t="n">
        <x:f>IF(AM$5&lt;='假设'!$D$25,'假设'!$D$18,0)</x:f>
        <x:v>0</x:v>
      </x:c>
      <x:c r="AN23" s="3"/>
    </x:row>
    <x:row r="24" ht="24" customHeight="1">
      <x:c r="A24" s="1"/>
      <x:c r="B24" s="1"/>
      <x:c r="C24" s="22" t="str">
        <x:v>经营结果（含品牌CAC）</x:v>
      </x:c>
      <x:c r="D24" s="24" t="n">
        <x:f>D18-D20-D22-D23-D10</x:f>
        <x:v>-12000</x:v>
      </x:c>
      <x:c r="E24" s="24" t="n">
        <x:f>E18-E20-E22-E23-E10</x:f>
        <x:v>-12000</x:v>
      </x:c>
      <x:c r="F24" s="24" t="n">
        <x:f>F18-F20-F22-F23-F10</x:f>
        <x:v>-12000</x:v>
      </x:c>
      <x:c r="G24" s="24" t="n">
        <x:f>G18-G20-G22-G23-G10</x:f>
        <x:v>-12000</x:v>
      </x:c>
      <x:c r="H24" s="24" t="n">
        <x:f>H18-H20-H22-H23-H10</x:f>
        <x:v>-8000</x:v>
      </x:c>
      <x:c r="I24" s="24" t="n">
        <x:f>I18-I20-I22-I23-I10</x:f>
        <x:v>-8450</x:v>
      </x:c>
      <x:c r="J24" s="24" t="n">
        <x:f>J18-J20-J22-J23-J10</x:f>
        <x:v>-2750</x:v>
      </x:c>
      <x:c r="K24" s="24" t="n">
        <x:f>K18-K20-K22-K23-K10</x:f>
        <x:v>2949.999999999998</x:v>
      </x:c>
      <x:c r="L24" s="24" t="n">
        <x:f>L18-L20-L22-L23-L10</x:f>
        <x:v>8649.999999999996</x:v>
      </x:c>
      <x:c r="M24" s="24" t="n">
        <x:f>M18-M20-M22-M23-M10</x:f>
        <x:v>14349.999999999998</x:v>
      </x:c>
      <x:c r="N24" s="24" t="n">
        <x:f>N18-N20-N22-N23-N10</x:f>
        <x:v>20050</x:v>
      </x:c>
      <x:c r="O24" s="24" t="n">
        <x:f>O18-O20-O22-O23-O10</x:f>
        <x:v>25750</x:v>
      </x:c>
      <x:c r="P24" s="24" t="n">
        <x:f>P18-P20-P22-P23-P10</x:f>
        <x:v>31449.999999999996</x:v>
      </x:c>
      <x:c r="Q24" s="24" t="n">
        <x:f>Q18-Q20-Q22-Q23-Q10</x:f>
        <x:v>37150</x:v>
      </x:c>
      <x:c r="R24" s="24" t="n">
        <x:f>R18-R20-R22-R23-R10</x:f>
        <x:v>42850</x:v>
      </x:c>
      <x:c r="S24" s="24" t="n">
        <x:f>S18-S20-S22-S23-S10</x:f>
        <x:v>48549.99999999999</x:v>
      </x:c>
      <x:c r="T24" s="24" t="n">
        <x:f>T18-T20-T22-T23-T10</x:f>
        <x:v>54250</x:v>
      </x:c>
      <x:c r="U24" s="24" t="n">
        <x:f>U18-U20-U22-U23-U10</x:f>
        <x:v>61375</x:v>
      </x:c>
      <x:c r="V24" s="24" t="n">
        <x:f>V18-V20-V22-V23-V10</x:f>
        <x:v>68500</x:v>
      </x:c>
      <x:c r="W24" s="24" t="n">
        <x:f>W18-W20-W22-W23-W10</x:f>
        <x:v>75625</x:v>
      </x:c>
      <x:c r="X24" s="24" t="n">
        <x:f>X18-X20-X22-X23-X10</x:f>
        <x:v>82750</x:v>
      </x:c>
      <x:c r="Y24" s="24" t="n">
        <x:f>Y18-Y20-Y22-Y23-Y10</x:f>
        <x:v>89875</x:v>
      </x:c>
      <x:c r="Z24" s="24" t="n">
        <x:f>Z18-Z20-Z22-Z23-Z10</x:f>
        <x:v>97000</x:v>
      </x:c>
      <x:c r="AA24" s="24" t="n">
        <x:f>AA18-AA20-AA22-AA23-AA10</x:f>
        <x:v>104125</x:v>
      </x:c>
      <x:c r="AB24" s="24" t="n">
        <x:f>AB18-AB20-AB22-AB23-AB10</x:f>
        <x:v>111250</x:v>
      </x:c>
      <x:c r="AC24" s="24" t="n">
        <x:f>AC18-AC20-AC22-AC23-AC10</x:f>
        <x:v>118375</x:v>
      </x:c>
      <x:c r="AD24" s="24" t="n">
        <x:f>AD18-AD20-AD22-AD23-AD10</x:f>
        <x:v>125500</x:v>
      </x:c>
      <x:c r="AE24" s="24" t="n">
        <x:f>AE18-AE20-AE22-AE23-AE10</x:f>
        <x:v>132625</x:v>
      </x:c>
      <x:c r="AF24" s="24" t="n">
        <x:f>AF18-AF20-AF22-AF23-AF10</x:f>
        <x:v>139750</x:v>
      </x:c>
      <x:c r="AG24" s="24" t="n">
        <x:f>AG18-AG20-AG22-AG23-AG10</x:f>
        <x:v>146875</x:v>
      </x:c>
      <x:c r="AH24" s="24" t="n">
        <x:f>AH18-AH20-AH22-AH23-AH10</x:f>
        <x:v>154000</x:v>
      </x:c>
      <x:c r="AI24" s="24" t="n">
        <x:f>AI18-AI20-AI22-AI23-AI10</x:f>
        <x:v>154000</x:v>
      </x:c>
      <x:c r="AJ24" s="24" t="n">
        <x:f>AJ18-AJ20-AJ22-AJ23-AJ10</x:f>
        <x:v>154000</x:v>
      </x:c>
      <x:c r="AK24" s="24" t="n">
        <x:f>AK18-AK20-AK22-AK23-AK10</x:f>
        <x:v>154000</x:v>
      </x:c>
      <x:c r="AL24" s="24" t="n">
        <x:f>AL18-AL20-AL22-AL23-AL10</x:f>
        <x:v>154000</x:v>
      </x:c>
      <x:c r="AM24" s="24" t="n">
        <x:f>AM18-AM20-AM22-AM23-AM10</x:f>
        <x:v>154000</x:v>
      </x:c>
      <x:c r="AN24" s="3"/>
    </x:row>
    <x:row r="25" ht="24" customHeight="1">
      <x:c r="A25" s="1"/>
      <x:c r="B25" s="1"/>
      <x:c r="C25" s="1" t="str">
        <x:v>经营利润率</x:v>
      </x:c>
      <x:c r="D25" s="17" t="str">
        <x:f>IF(D14=0,"不适用",D24/D14)</x:f>
        <x:v>不适用</x:v>
      </x:c>
      <x:c r="E25" s="17" t="str">
        <x:f>IF(E14=0,"不适用",E24/E14)</x:f>
        <x:v>不适用</x:v>
      </x:c>
      <x:c r="F25" s="17" t="str">
        <x:f>IF(F14=0,"不适用",F24/F14)</x:f>
        <x:v>不适用</x:v>
      </x:c>
      <x:c r="G25" s="17" t="str">
        <x:f>IF(G14=0,"不适用",G24/G14)</x:f>
        <x:v>不适用</x:v>
      </x:c>
      <x:c r="H25" s="17" t="n">
        <x:f>IF(H14=0,"不适用",H24/H14)</x:f>
        <x:v>-0.4444444444444444</x:v>
      </x:c>
      <x:c r="I25" s="17" t="n">
        <x:f>IF(I14=0,"不适用",I24/I14)</x:f>
        <x:v>-0.2816666666666667</x:v>
      </x:c>
      <x:c r="J25" s="17" t="n">
        <x:f>IF(J14=0,"不适用",J24/J14)</x:f>
        <x:v>-0.06547619047619048</x:v>
      </x:c>
      <x:c r="K25" s="17" t="n">
        <x:f>IF(K14=0,"不适用",K24/K14)</x:f>
        <x:v>0.0546296296296296</x:v>
      </x:c>
      <x:c r="L25" s="17" t="n">
        <x:f>IF(L14=0,"不适用",L24/L14)</x:f>
        <x:v>0.13106060606060602</x:v>
      </x:c>
      <x:c r="M25" s="17" t="n">
        <x:f>IF(M14=0,"不适用",M24/M14)</x:f>
        <x:v>0.18397435897435896</x:v>
      </x:c>
      <x:c r="N25" s="17" t="n">
        <x:f>IF(N14=0,"不适用",N24/N14)</x:f>
        <x:v>0.22277777777777777</x:v>
      </x:c>
      <x:c r="O25" s="17" t="n">
        <x:f>IF(O14=0,"不适用",O24/O14)</x:f>
        <x:v>0.25245098039215685</x:v>
      </x:c>
      <x:c r="P25" s="17" t="n">
        <x:f>IF(P14=0,"不适用",P24/P14)</x:f>
        <x:v>0.2758771929824561</x:v>
      </x:c>
      <x:c r="Q25" s="17" t="n">
        <x:f>IF(Q14=0,"不适用",Q24/Q14)</x:f>
        <x:v>0.29484126984126985</x:v>
      </x:c>
      <x:c r="R25" s="17" t="n">
        <x:f>IF(R14=0,"不适用",R24/R14)</x:f>
        <x:v>0.3105072463768116</x:v>
      </x:c>
      <x:c r="S25" s="17" t="n">
        <x:f>IF(S14=0,"不适用",S24/S14)</x:f>
        <x:v>0.3236666666666666</x:v>
      </x:c>
      <x:c r="T25" s="17" t="n">
        <x:f>IF(T14=0,"不适用",T24/T14)</x:f>
        <x:v>0.3287878787878788</x:v>
      </x:c>
      <x:c r="U25" s="17" t="n">
        <x:f>IF(U14=0,"不适用",U24/U14)</x:f>
        <x:v>0.34097222222222223</x:v>
      </x:c>
      <x:c r="V25" s="17" t="n">
        <x:f>IF(V14=0,"不适用",V24/V14)</x:f>
        <x:v>0.35128205128205126</x:v>
      </x:c>
      <x:c r="W25" s="17" t="n">
        <x:f>IF(W14=0,"不适用",W24/W14)</x:f>
        <x:v>0.3601190476190476</x:v>
      </x:c>
      <x:c r="X25" s="17" t="n">
        <x:f>IF(X14=0,"不适用",X24/X14)</x:f>
        <x:v>0.36777777777777776</x:v>
      </x:c>
      <x:c r="Y25" s="17" t="n">
        <x:f>IF(Y14=0,"不适用",Y24/Y14)</x:f>
        <x:v>0.37447916666666664</x:v>
      </x:c>
      <x:c r="Z25" s="17" t="n">
        <x:f>IF(Z14=0,"不适用",Z24/Z14)</x:f>
        <x:v>0.3803921568627451</x:v>
      </x:c>
      <x:c r="AA25" s="17" t="n">
        <x:f>IF(AA14=0,"不适用",AA24/AA14)</x:f>
        <x:v>0.38564814814814813</x:v>
      </x:c>
      <x:c r="AB25" s="17" t="n">
        <x:f>IF(AB14=0,"不适用",AB24/AB14)</x:f>
        <x:v>0.39035087719298245</x:v>
      </x:c>
      <x:c r="AC25" s="17" t="n">
        <x:f>IF(AC14=0,"不适用",AC24/AC14)</x:f>
        <x:v>0.39458333333333334</x:v>
      </x:c>
      <x:c r="AD25" s="17" t="n">
        <x:f>IF(AD14=0,"不适用",AD24/AD14)</x:f>
        <x:v>0.3984126984126984</x:v>
      </x:c>
      <x:c r="AE25" s="17" t="n">
        <x:f>IF(AE14=0,"不适用",AE24/AE14)</x:f>
        <x:v>0.4018939393939394</x:v>
      </x:c>
      <x:c r="AF25" s="17" t="n">
        <x:f>IF(AF14=0,"不适用",AF24/AF14)</x:f>
        <x:v>0.40507246376811595</x:v>
      </x:c>
      <x:c r="AG25" s="17" t="n">
        <x:f>IF(AG14=0,"不适用",AG24/AG14)</x:f>
        <x:v>0.4079861111111111</x:v>
      </x:c>
      <x:c r="AH25" s="17" t="n">
        <x:f>IF(AH14=0,"不适用",AH24/AH14)</x:f>
        <x:v>0.42777777777777776</x:v>
      </x:c>
      <x:c r="AI25" s="17" t="n">
        <x:f>IF(AI14=0,"不适用",AI24/AI14)</x:f>
        <x:v>0.42777777777777776</x:v>
      </x:c>
      <x:c r="AJ25" s="17" t="n">
        <x:f>IF(AJ14=0,"不适用",AJ24/AJ14)</x:f>
        <x:v>0.42777777777777776</x:v>
      </x:c>
      <x:c r="AK25" s="17" t="n">
        <x:f>IF(AK14=0,"不适用",AK24/AK14)</x:f>
        <x:v>0.42777777777777776</x:v>
      </x:c>
      <x:c r="AL25" s="17" t="n">
        <x:f>IF(AL14=0,"不适用",AL24/AL14)</x:f>
        <x:v>0.42777777777777776</x:v>
      </x:c>
      <x:c r="AM25" s="17" t="n">
        <x:f>IF(AM14=0,"不适用",AM24/AM14)</x:f>
        <x:v>0.42777777777777776</x:v>
      </x:c>
      <x:c r="AN25" s="3"/>
    </x:row>
    <x:row r="26" ht="24" customHeight="1">
      <x:c r="A26" s="1"/>
      <x:c r="B26" s="1"/>
      <x:c r="C26" s="1" t="str">
        <x:v>开发现金支付</x:v>
      </x:c>
      <x:c r="D26" s="15" t="n">
        <x:f>IF(D$5&lt;='假设'!$D$25,('假设'!$D$16+'假设'!$D$17)/'假设'!$D$25,0)</x:f>
        <x:v>47437.5</x:v>
      </x:c>
      <x:c r="E26" s="15" t="n">
        <x:f>IF(E$5&lt;='假设'!$D$25,('假设'!$D$16+'假设'!$D$17)/'假设'!$D$25,0)</x:f>
        <x:v>47437.5</x:v>
      </x:c>
      <x:c r="F26" s="15" t="n">
        <x:f>IF(F$5&lt;='假设'!$D$25,('假设'!$D$16+'假设'!$D$17)/'假设'!$D$25,0)</x:f>
        <x:v>47437.5</x:v>
      </x:c>
      <x:c r="G26" s="15" t="n">
        <x:f>IF(G$5&lt;='假设'!$D$25,('假设'!$D$16+'假设'!$D$17)/'假设'!$D$25,0)</x:f>
        <x:v>47437.5</x:v>
      </x:c>
      <x:c r="H26" s="15" t="n">
        <x:f>IF(H$5&lt;='假设'!$D$25,('假设'!$D$16+'假设'!$D$17)/'假设'!$D$25,0)</x:f>
        <x:v>0</x:v>
      </x:c>
      <x:c r="I26" s="15" t="n">
        <x:f>IF(I$5&lt;='假设'!$D$25,('假设'!$D$16+'假设'!$D$17)/'假设'!$D$25,0)</x:f>
        <x:v>0</x:v>
      </x:c>
      <x:c r="J26" s="15" t="n">
        <x:f>IF(J$5&lt;='假设'!$D$25,('假设'!$D$16+'假设'!$D$17)/'假设'!$D$25,0)</x:f>
        <x:v>0</x:v>
      </x:c>
      <x:c r="K26" s="15" t="n">
        <x:f>IF(K$5&lt;='假设'!$D$25,('假设'!$D$16+'假设'!$D$17)/'假设'!$D$25,0)</x:f>
        <x:v>0</x:v>
      </x:c>
      <x:c r="L26" s="15" t="n">
        <x:f>IF(L$5&lt;='假设'!$D$25,('假设'!$D$16+'假设'!$D$17)/'假设'!$D$25,0)</x:f>
        <x:v>0</x:v>
      </x:c>
      <x:c r="M26" s="15" t="n">
        <x:f>IF(M$5&lt;='假设'!$D$25,('假设'!$D$16+'假设'!$D$17)/'假设'!$D$25,0)</x:f>
        <x:v>0</x:v>
      </x:c>
      <x:c r="N26" s="15" t="n">
        <x:f>IF(N$5&lt;='假设'!$D$25,('假设'!$D$16+'假设'!$D$17)/'假设'!$D$25,0)</x:f>
        <x:v>0</x:v>
      </x:c>
      <x:c r="O26" s="15" t="n">
        <x:f>IF(O$5&lt;='假设'!$D$25,('假设'!$D$16+'假设'!$D$17)/'假设'!$D$25,0)</x:f>
        <x:v>0</x:v>
      </x:c>
      <x:c r="P26" s="15" t="n">
        <x:f>IF(P$5&lt;='假设'!$D$25,('假设'!$D$16+'假设'!$D$17)/'假设'!$D$25,0)</x:f>
        <x:v>0</x:v>
      </x:c>
      <x:c r="Q26" s="15" t="n">
        <x:f>IF(Q$5&lt;='假设'!$D$25,('假设'!$D$16+'假设'!$D$17)/'假设'!$D$25,0)</x:f>
        <x:v>0</x:v>
      </x:c>
      <x:c r="R26" s="15" t="n">
        <x:f>IF(R$5&lt;='假设'!$D$25,('假设'!$D$16+'假设'!$D$17)/'假设'!$D$25,0)</x:f>
        <x:v>0</x:v>
      </x:c>
      <x:c r="S26" s="15" t="n">
        <x:f>IF(S$5&lt;='假设'!$D$25,('假设'!$D$16+'假设'!$D$17)/'假设'!$D$25,0)</x:f>
        <x:v>0</x:v>
      </x:c>
      <x:c r="T26" s="15" t="n">
        <x:f>IF(T$5&lt;='假设'!$D$25,('假设'!$D$16+'假设'!$D$17)/'假设'!$D$25,0)</x:f>
        <x:v>0</x:v>
      </x:c>
      <x:c r="U26" s="15" t="n">
        <x:f>IF(U$5&lt;='假设'!$D$25,('假设'!$D$16+'假设'!$D$17)/'假设'!$D$25,0)</x:f>
        <x:v>0</x:v>
      </x:c>
      <x:c r="V26" s="15" t="n">
        <x:f>IF(V$5&lt;='假设'!$D$25,('假设'!$D$16+'假设'!$D$17)/'假设'!$D$25,0)</x:f>
        <x:v>0</x:v>
      </x:c>
      <x:c r="W26" s="15" t="n">
        <x:f>IF(W$5&lt;='假设'!$D$25,('假设'!$D$16+'假设'!$D$17)/'假设'!$D$25,0)</x:f>
        <x:v>0</x:v>
      </x:c>
      <x:c r="X26" s="15" t="n">
        <x:f>IF(X$5&lt;='假设'!$D$25,('假设'!$D$16+'假设'!$D$17)/'假设'!$D$25,0)</x:f>
        <x:v>0</x:v>
      </x:c>
      <x:c r="Y26" s="15" t="n">
        <x:f>IF(Y$5&lt;='假设'!$D$25,('假设'!$D$16+'假设'!$D$17)/'假设'!$D$25,0)</x:f>
        <x:v>0</x:v>
      </x:c>
      <x:c r="Z26" s="15" t="n">
        <x:f>IF(Z$5&lt;='假设'!$D$25,('假设'!$D$16+'假设'!$D$17)/'假设'!$D$25,0)</x:f>
        <x:v>0</x:v>
      </x:c>
      <x:c r="AA26" s="15" t="n">
        <x:f>IF(AA$5&lt;='假设'!$D$25,('假设'!$D$16+'假设'!$D$17)/'假设'!$D$25,0)</x:f>
        <x:v>0</x:v>
      </x:c>
      <x:c r="AB26" s="15" t="n">
        <x:f>IF(AB$5&lt;='假设'!$D$25,('假设'!$D$16+'假设'!$D$17)/'假设'!$D$25,0)</x:f>
        <x:v>0</x:v>
      </x:c>
      <x:c r="AC26" s="15" t="n">
        <x:f>IF(AC$5&lt;='假设'!$D$25,('假设'!$D$16+'假设'!$D$17)/'假设'!$D$25,0)</x:f>
        <x:v>0</x:v>
      </x:c>
      <x:c r="AD26" s="15" t="n">
        <x:f>IF(AD$5&lt;='假设'!$D$25,('假设'!$D$16+'假设'!$D$17)/'假设'!$D$25,0)</x:f>
        <x:v>0</x:v>
      </x:c>
      <x:c r="AE26" s="15" t="n">
        <x:f>IF(AE$5&lt;='假设'!$D$25,('假设'!$D$16+'假设'!$D$17)/'假设'!$D$25,0)</x:f>
        <x:v>0</x:v>
      </x:c>
      <x:c r="AF26" s="15" t="n">
        <x:f>IF(AF$5&lt;='假设'!$D$25,('假设'!$D$16+'假设'!$D$17)/'假设'!$D$25,0)</x:f>
        <x:v>0</x:v>
      </x:c>
      <x:c r="AG26" s="15" t="n">
        <x:f>IF(AG$5&lt;='假设'!$D$25,('假设'!$D$16+'假设'!$D$17)/'假设'!$D$25,0)</x:f>
        <x:v>0</x:v>
      </x:c>
      <x:c r="AH26" s="15" t="n">
        <x:f>IF(AH$5&lt;='假设'!$D$25,('假设'!$D$16+'假设'!$D$17)/'假设'!$D$25,0)</x:f>
        <x:v>0</x:v>
      </x:c>
      <x:c r="AI26" s="15" t="n">
        <x:f>IF(AI$5&lt;='假设'!$D$25,('假设'!$D$16+'假设'!$D$17)/'假设'!$D$25,0)</x:f>
        <x:v>0</x:v>
      </x:c>
      <x:c r="AJ26" s="15" t="n">
        <x:f>IF(AJ$5&lt;='假设'!$D$25,('假设'!$D$16+'假设'!$D$17)/'假设'!$D$25,0)</x:f>
        <x:v>0</x:v>
      </x:c>
      <x:c r="AK26" s="15" t="n">
        <x:f>IF(AK$5&lt;='假设'!$D$25,('假设'!$D$16+'假设'!$D$17)/'假设'!$D$25,0)</x:f>
        <x:v>0</x:v>
      </x:c>
      <x:c r="AL26" s="15" t="n">
        <x:f>IF(AL$5&lt;='假设'!$D$25,('假设'!$D$16+'假设'!$D$17)/'假设'!$D$25,0)</x:f>
        <x:v>0</x:v>
      </x:c>
      <x:c r="AM26" s="15" t="n">
        <x:f>IF(AM$5&lt;='假设'!$D$25,('假设'!$D$16+'假设'!$D$17)/'假设'!$D$25,0)</x:f>
        <x:v>0</x:v>
      </x:c>
      <x:c r="AN26" s="3"/>
    </x:row>
    <x:row r="27" ht="24" customHeight="1">
      <x:c r="A27" s="1"/>
      <x:c r="B27" s="1"/>
      <x:c r="C27" s="1" t="str">
        <x:v>一次性启动现金支出</x:v>
      </x:c>
      <x:c r="D27" s="15" t="n">
        <x:f>IF(D$5='假设'!$D$25+1,'假设'!$D$19,0)</x:f>
        <x:v>0</x:v>
      </x:c>
      <x:c r="E27" s="15" t="n">
        <x:f>IF(E$5='假设'!$D$25+1,'假设'!$D$19,0)</x:f>
        <x:v>0</x:v>
      </x:c>
      <x:c r="F27" s="15" t="n">
        <x:f>IF(F$5='假设'!$D$25+1,'假设'!$D$19,0)</x:f>
        <x:v>0</x:v>
      </x:c>
      <x:c r="G27" s="15" t="n">
        <x:f>IF(G$5='假设'!$D$25+1,'假设'!$D$19,0)</x:f>
        <x:v>0</x:v>
      </x:c>
      <x:c r="H27" s="15" t="n">
        <x:f>IF(H$5='假设'!$D$25+1,'假设'!$D$19,0)</x:f>
        <x:v>50000</x:v>
      </x:c>
      <x:c r="I27" s="15" t="n">
        <x:f>IF(I$5='假设'!$D$25+1,'假设'!$D$19,0)</x:f>
        <x:v>0</x:v>
      </x:c>
      <x:c r="J27" s="15" t="n">
        <x:f>IF(J$5='假设'!$D$25+1,'假设'!$D$19,0)</x:f>
        <x:v>0</x:v>
      </x:c>
      <x:c r="K27" s="15" t="n">
        <x:f>IF(K$5='假设'!$D$25+1,'假设'!$D$19,0)</x:f>
        <x:v>0</x:v>
      </x:c>
      <x:c r="L27" s="15" t="n">
        <x:f>IF(L$5='假设'!$D$25+1,'假设'!$D$19,0)</x:f>
        <x:v>0</x:v>
      </x:c>
      <x:c r="M27" s="15" t="n">
        <x:f>IF(M$5='假设'!$D$25+1,'假设'!$D$19,0)</x:f>
        <x:v>0</x:v>
      </x:c>
      <x:c r="N27" s="15" t="n">
        <x:f>IF(N$5='假设'!$D$25+1,'假设'!$D$19,0)</x:f>
        <x:v>0</x:v>
      </x:c>
      <x:c r="O27" s="15" t="n">
        <x:f>IF(O$5='假设'!$D$25+1,'假设'!$D$19,0)</x:f>
        <x:v>0</x:v>
      </x:c>
      <x:c r="P27" s="15" t="n">
        <x:f>IF(P$5='假设'!$D$25+1,'假设'!$D$19,0)</x:f>
        <x:v>0</x:v>
      </x:c>
      <x:c r="Q27" s="15" t="n">
        <x:f>IF(Q$5='假设'!$D$25+1,'假设'!$D$19,0)</x:f>
        <x:v>0</x:v>
      </x:c>
      <x:c r="R27" s="15" t="n">
        <x:f>IF(R$5='假设'!$D$25+1,'假设'!$D$19,0)</x:f>
        <x:v>0</x:v>
      </x:c>
      <x:c r="S27" s="15" t="n">
        <x:f>IF(S$5='假设'!$D$25+1,'假设'!$D$19,0)</x:f>
        <x:v>0</x:v>
      </x:c>
      <x:c r="T27" s="15" t="n">
        <x:f>IF(T$5='假设'!$D$25+1,'假设'!$D$19,0)</x:f>
        <x:v>0</x:v>
      </x:c>
      <x:c r="U27" s="15" t="n">
        <x:f>IF(U$5='假设'!$D$25+1,'假设'!$D$19,0)</x:f>
        <x:v>0</x:v>
      </x:c>
      <x:c r="V27" s="15" t="n">
        <x:f>IF(V$5='假设'!$D$25+1,'假设'!$D$19,0)</x:f>
        <x:v>0</x:v>
      </x:c>
      <x:c r="W27" s="15" t="n">
        <x:f>IF(W$5='假设'!$D$25+1,'假设'!$D$19,0)</x:f>
        <x:v>0</x:v>
      </x:c>
      <x:c r="X27" s="15" t="n">
        <x:f>IF(X$5='假设'!$D$25+1,'假设'!$D$19,0)</x:f>
        <x:v>0</x:v>
      </x:c>
      <x:c r="Y27" s="15" t="n">
        <x:f>IF(Y$5='假设'!$D$25+1,'假设'!$D$19,0)</x:f>
        <x:v>0</x:v>
      </x:c>
      <x:c r="Z27" s="15" t="n">
        <x:f>IF(Z$5='假设'!$D$25+1,'假设'!$D$19,0)</x:f>
        <x:v>0</x:v>
      </x:c>
      <x:c r="AA27" s="15" t="n">
        <x:f>IF(AA$5='假设'!$D$25+1,'假设'!$D$19,0)</x:f>
        <x:v>0</x:v>
      </x:c>
      <x:c r="AB27" s="15" t="n">
        <x:f>IF(AB$5='假设'!$D$25+1,'假设'!$D$19,0)</x:f>
        <x:v>0</x:v>
      </x:c>
      <x:c r="AC27" s="15" t="n">
        <x:f>IF(AC$5='假设'!$D$25+1,'假设'!$D$19,0)</x:f>
        <x:v>0</x:v>
      </x:c>
      <x:c r="AD27" s="15" t="n">
        <x:f>IF(AD$5='假设'!$D$25+1,'假设'!$D$19,0)</x:f>
        <x:v>0</x:v>
      </x:c>
      <x:c r="AE27" s="15" t="n">
        <x:f>IF(AE$5='假设'!$D$25+1,'假设'!$D$19,0)</x:f>
        <x:v>0</x:v>
      </x:c>
      <x:c r="AF27" s="15" t="n">
        <x:f>IF(AF$5='假设'!$D$25+1,'假设'!$D$19,0)</x:f>
        <x:v>0</x:v>
      </x:c>
      <x:c r="AG27" s="15" t="n">
        <x:f>IF(AG$5='假设'!$D$25+1,'假设'!$D$19,0)</x:f>
        <x:v>0</x:v>
      </x:c>
      <x:c r="AH27" s="15" t="n">
        <x:f>IF(AH$5='假设'!$D$25+1,'假设'!$D$19,0)</x:f>
        <x:v>0</x:v>
      </x:c>
      <x:c r="AI27" s="15" t="n">
        <x:f>IF(AI$5='假设'!$D$25+1,'假设'!$D$19,0)</x:f>
        <x:v>0</x:v>
      </x:c>
      <x:c r="AJ27" s="15" t="n">
        <x:f>IF(AJ$5='假设'!$D$25+1,'假设'!$D$19,0)</x:f>
        <x:v>0</x:v>
      </x:c>
      <x:c r="AK27" s="15" t="n">
        <x:f>IF(AK$5='假设'!$D$25+1,'假设'!$D$19,0)</x:f>
        <x:v>0</x:v>
      </x:c>
      <x:c r="AL27" s="15" t="n">
        <x:f>IF(AL$5='假设'!$D$25+1,'假设'!$D$19,0)</x:f>
        <x:v>0</x:v>
      </x:c>
      <x:c r="AM27" s="15" t="n">
        <x:f>IF(AM$5='假设'!$D$25+1,'假设'!$D$19,0)</x:f>
        <x:v>0</x:v>
      </x:c>
      <x:c r="AN27" s="3"/>
    </x:row>
    <x:row r="28" ht="24" customHeight="1">
      <x:c r="A28" s="1"/>
      <x:c r="B28" s="1"/>
      <x:c r="C28" s="22" t="str">
        <x:v>融资前税前现金流</x:v>
      </x:c>
      <x:c r="D28" s="24" t="n">
        <x:f>D24-D26-D27-D14+D33</x:f>
        <x:v>-59437.5</x:v>
      </x:c>
      <x:c r="E28" s="24" t="n">
        <x:f>E24-E26-E27-E14+E33</x:f>
        <x:v>-59437.5</x:v>
      </x:c>
      <x:c r="F28" s="24" t="n">
        <x:f>F24-F26-F27-F14+F33</x:f>
        <x:v>-59437.5</x:v>
      </x:c>
      <x:c r="G28" s="24" t="n">
        <x:f>G24-G26-G27-G14+G33</x:f>
        <x:v>-59437.5</x:v>
      </x:c>
      <x:c r="H28" s="24" t="n">
        <x:f>H24-H26-H27-H14+H33</x:f>
        <x:v>-58000</x:v>
      </x:c>
      <x:c r="I28" s="24" t="n">
        <x:f>I24-I26-I27-I14+I33</x:f>
        <x:v>-8450</x:v>
      </x:c>
      <x:c r="J28" s="24" t="n">
        <x:f>J24-J26-J27-J14+J33</x:f>
        <x:v>-2750</x:v>
      </x:c>
      <x:c r="K28" s="24" t="n">
        <x:f>K24-K26-K27-K14+K33</x:f>
        <x:v>2950</x:v>
      </x:c>
      <x:c r="L28" s="24" t="n">
        <x:f>L24-L26-L27-L14+L33</x:f>
        <x:v>8650</x:v>
      </x:c>
      <x:c r="M28" s="24" t="n">
        <x:f>M24-M26-M27-M14+M33</x:f>
        <x:v>14350</x:v>
      </x:c>
      <x:c r="N28" s="24" t="n">
        <x:f>N24-N26-N27-N14+N33</x:f>
        <x:v>20050</x:v>
      </x:c>
      <x:c r="O28" s="24" t="n">
        <x:f>O24-O26-O27-O14+O33</x:f>
        <x:v>25750</x:v>
      </x:c>
      <x:c r="P28" s="24" t="n">
        <x:f>P24-P26-P27-P14+P33</x:f>
        <x:v>31450</x:v>
      </x:c>
      <x:c r="Q28" s="24" t="n">
        <x:f>Q24-Q26-Q27-Q14+Q33</x:f>
        <x:v>37150</x:v>
      </x:c>
      <x:c r="R28" s="24" t="n">
        <x:f>R24-R26-R27-R14+R33</x:f>
        <x:v>42850</x:v>
      </x:c>
      <x:c r="S28" s="24" t="n">
        <x:f>S24-S26-S27-S14+S33</x:f>
        <x:v>48550</x:v>
      </x:c>
      <x:c r="T28" s="24" t="n">
        <x:f>T24-T26-T27-T14+T33</x:f>
        <x:v>54250</x:v>
      </x:c>
      <x:c r="U28" s="24" t="n">
        <x:f>U24-U26-U27-U14+U33</x:f>
        <x:v>61375</x:v>
      </x:c>
      <x:c r="V28" s="24" t="n">
        <x:f>V24-V26-V27-V14+V33</x:f>
        <x:v>68500</x:v>
      </x:c>
      <x:c r="W28" s="24" t="n">
        <x:f>W24-W26-W27-W14+W33</x:f>
        <x:v>75625</x:v>
      </x:c>
      <x:c r="X28" s="24" t="n">
        <x:f>X24-X26-X27-X14+X33</x:f>
        <x:v>82750</x:v>
      </x:c>
      <x:c r="Y28" s="24" t="n">
        <x:f>Y24-Y26-Y27-Y14+Y33</x:f>
        <x:v>89875</x:v>
      </x:c>
      <x:c r="Z28" s="24" t="n">
        <x:f>Z24-Z26-Z27-Z14+Z33</x:f>
        <x:v>97000</x:v>
      </x:c>
      <x:c r="AA28" s="24" t="n">
        <x:f>AA24-AA26-AA27-AA14+AA33</x:f>
        <x:v>104125</x:v>
      </x:c>
      <x:c r="AB28" s="24" t="n">
        <x:f>AB24-AB26-AB27-AB14+AB33</x:f>
        <x:v>111250</x:v>
      </x:c>
      <x:c r="AC28" s="24" t="n">
        <x:f>AC24-AC26-AC27-AC14+AC33</x:f>
        <x:v>118375</x:v>
      </x:c>
      <x:c r="AD28" s="24" t="n">
        <x:f>AD24-AD26-AD27-AD14+AD33</x:f>
        <x:v>125500</x:v>
      </x:c>
      <x:c r="AE28" s="24" t="n">
        <x:f>AE24-AE26-AE27-AE14+AE33</x:f>
        <x:v>132625</x:v>
      </x:c>
      <x:c r="AF28" s="24" t="n">
        <x:f>AF24-AF26-AF27-AF14+AF33</x:f>
        <x:v>139750</x:v>
      </x:c>
      <x:c r="AG28" s="24" t="n">
        <x:f>AG24-AG26-AG27-AG14+AG33</x:f>
        <x:v>146875</x:v>
      </x:c>
      <x:c r="AH28" s="24" t="n">
        <x:f>AH24-AH26-AH27-AH14+AH33</x:f>
        <x:v>154000</x:v>
      </x:c>
      <x:c r="AI28" s="24" t="n">
        <x:f>AI24-AI26-AI27-AI14+AI33</x:f>
        <x:v>154000</x:v>
      </x:c>
      <x:c r="AJ28" s="24" t="n">
        <x:f>AJ24-AJ26-AJ27-AJ14+AJ33</x:f>
        <x:v>154000</x:v>
      </x:c>
      <x:c r="AK28" s="24" t="n">
        <x:f>AK24-AK26-AK27-AK14+AK33</x:f>
        <x:v>154000</x:v>
      </x:c>
      <x:c r="AL28" s="24" t="n">
        <x:f>AL24-AL26-AL27-AL14+AL33</x:f>
        <x:v>154000</x:v>
      </x:c>
      <x:c r="AM28" s="24" t="n">
        <x:f>AM24-AM26-AM27-AM14+AM33</x:f>
        <x:v>154000</x:v>
      </x:c>
      <x:c r="AN28" s="3"/>
    </x:row>
    <x:row r="29" ht="24" customHeight="1">
      <x:c r="A29" s="1"/>
      <x:c r="B29" s="1"/>
      <x:c r="C29" s="22" t="str">
        <x:v>累计公司现金流</x:v>
      </x:c>
      <x:c r="D29" s="24" t="n">
        <x:f>D28</x:f>
        <x:v>-59437.5</x:v>
      </x:c>
      <x:c r="E29" s="24" t="n">
        <x:f>D29+E28</x:f>
        <x:v>-118875</x:v>
      </x:c>
      <x:c r="F29" s="24" t="n">
        <x:f>E29+F28</x:f>
        <x:v>-178312.5</x:v>
      </x:c>
      <x:c r="G29" s="24" t="n">
        <x:f>F29+G28</x:f>
        <x:v>-237750</x:v>
      </x:c>
      <x:c r="H29" s="24" t="n">
        <x:f>G29+H28</x:f>
        <x:v>-295750</x:v>
      </x:c>
      <x:c r="I29" s="24" t="n">
        <x:f>H29+I28</x:f>
        <x:v>-304200</x:v>
      </x:c>
      <x:c r="J29" s="24" t="n">
        <x:f>I29+J28</x:f>
        <x:v>-306950</x:v>
      </x:c>
      <x:c r="K29" s="24" t="n">
        <x:f>J29+K28</x:f>
        <x:v>-304000</x:v>
      </x:c>
      <x:c r="L29" s="24" t="n">
        <x:f>K29+L28</x:f>
        <x:v>-295350</x:v>
      </x:c>
      <x:c r="M29" s="24" t="n">
        <x:f>L29+M28</x:f>
        <x:v>-281000</x:v>
      </x:c>
      <x:c r="N29" s="24" t="n">
        <x:f>M29+N28</x:f>
        <x:v>-260950</x:v>
      </x:c>
      <x:c r="O29" s="24" t="n">
        <x:f>N29+O28</x:f>
        <x:v>-235200</x:v>
      </x:c>
      <x:c r="P29" s="24" t="n">
        <x:f>O29+P28</x:f>
        <x:v>-203750</x:v>
      </x:c>
      <x:c r="Q29" s="24" t="n">
        <x:f>P29+Q28</x:f>
        <x:v>-166600</x:v>
      </x:c>
      <x:c r="R29" s="24" t="n">
        <x:f>Q29+R28</x:f>
        <x:v>-123750</x:v>
      </x:c>
      <x:c r="S29" s="24" t="n">
        <x:f>R29+S28</x:f>
        <x:v>-75200</x:v>
      </x:c>
      <x:c r="T29" s="24" t="n">
        <x:f>S29+T28</x:f>
        <x:v>-20950</x:v>
      </x:c>
      <x:c r="U29" s="24" t="n">
        <x:f>T29+U28</x:f>
        <x:v>40425</x:v>
      </x:c>
      <x:c r="V29" s="24" t="n">
        <x:f>U29+V28</x:f>
        <x:v>108925</x:v>
      </x:c>
      <x:c r="W29" s="24" t="n">
        <x:f>V29+W28</x:f>
        <x:v>184550</x:v>
      </x:c>
      <x:c r="X29" s="24" t="n">
        <x:f>W29+X28</x:f>
        <x:v>267300</x:v>
      </x:c>
      <x:c r="Y29" s="24" t="n">
        <x:f>X29+Y28</x:f>
        <x:v>357175</x:v>
      </x:c>
      <x:c r="Z29" s="24" t="n">
        <x:f>Y29+Z28</x:f>
        <x:v>454175</x:v>
      </x:c>
      <x:c r="AA29" s="24" t="n">
        <x:f>Z29+AA28</x:f>
        <x:v>558300</x:v>
      </x:c>
      <x:c r="AB29" s="24" t="n">
        <x:f>AA29+AB28</x:f>
        <x:v>669550</x:v>
      </x:c>
      <x:c r="AC29" s="24" t="n">
        <x:f>AB29+AC28</x:f>
        <x:v>787925</x:v>
      </x:c>
      <x:c r="AD29" s="24" t="n">
        <x:f>AC29+AD28</x:f>
        <x:v>913425</x:v>
      </x:c>
      <x:c r="AE29" s="24" t="n">
        <x:f>AD29+AE28</x:f>
        <x:v>1046050</x:v>
      </x:c>
      <x:c r="AF29" s="24" t="n">
        <x:f>AE29+AF28</x:f>
        <x:v>1185800</x:v>
      </x:c>
      <x:c r="AG29" s="24" t="n">
        <x:f>AF29+AG28</x:f>
        <x:v>1332675</x:v>
      </x:c>
      <x:c r="AH29" s="24" t="n">
        <x:f>AG29+AH28</x:f>
        <x:v>1486675</x:v>
      </x:c>
      <x:c r="AI29" s="24" t="n">
        <x:f>AH29+AI28</x:f>
        <x:v>1640675</x:v>
      </x:c>
      <x:c r="AJ29" s="24" t="n">
        <x:f>AI29+AJ28</x:f>
        <x:v>1794675</x:v>
      </x:c>
      <x:c r="AK29" s="24" t="n">
        <x:f>AJ29+AK28</x:f>
        <x:v>1948675</x:v>
      </x:c>
      <x:c r="AL29" s="24" t="n">
        <x:f>AK29+AL28</x:f>
        <x:v>2102675</x:v>
      </x:c>
      <x:c r="AM29" s="24" t="n">
        <x:f>AL29+AM28</x:f>
        <x:v>2256675</x:v>
      </x:c>
      <x:c r="AN29" s="3"/>
    </x:row>
    <x:row r="30" ht="24" customHeight="1">
      <x:c r="A30" s="1"/>
      <x:c r="B30" s="1"/>
      <x:c r="C30" s="1" t="str">
        <x:v>含期初现金的余额</x:v>
      </x:c>
      <x:c r="D30" s="15" t="n">
        <x:f>'假设'!$D$23+D29</x:f>
        <x:v>-59437.5</x:v>
      </x:c>
      <x:c r="E30" s="15" t="n">
        <x:f>'假设'!$D$23+E29</x:f>
        <x:v>-118875</x:v>
      </x:c>
      <x:c r="F30" s="15" t="n">
        <x:f>'假设'!$D$23+F29</x:f>
        <x:v>-178312.5</x:v>
      </x:c>
      <x:c r="G30" s="15" t="n">
        <x:f>'假设'!$D$23+G29</x:f>
        <x:v>-237750</x:v>
      </x:c>
      <x:c r="H30" s="15" t="n">
        <x:f>'假设'!$D$23+H29</x:f>
        <x:v>-295750</x:v>
      </x:c>
      <x:c r="I30" s="15" t="n">
        <x:f>'假设'!$D$23+I29</x:f>
        <x:v>-304200</x:v>
      </x:c>
      <x:c r="J30" s="15" t="n">
        <x:f>'假设'!$D$23+J29</x:f>
        <x:v>-306950</x:v>
      </x:c>
      <x:c r="K30" s="15" t="n">
        <x:f>'假设'!$D$23+K29</x:f>
        <x:v>-304000</x:v>
      </x:c>
      <x:c r="L30" s="15" t="n">
        <x:f>'假设'!$D$23+L29</x:f>
        <x:v>-295350</x:v>
      </x:c>
      <x:c r="M30" s="15" t="n">
        <x:f>'假设'!$D$23+M29</x:f>
        <x:v>-281000</x:v>
      </x:c>
      <x:c r="N30" s="15" t="n">
        <x:f>'假设'!$D$23+N29</x:f>
        <x:v>-260950</x:v>
      </x:c>
      <x:c r="O30" s="15" t="n">
        <x:f>'假设'!$D$23+O29</x:f>
        <x:v>-235200</x:v>
      </x:c>
      <x:c r="P30" s="15" t="n">
        <x:f>'假设'!$D$23+P29</x:f>
        <x:v>-203750</x:v>
      </x:c>
      <x:c r="Q30" s="15" t="n">
        <x:f>'假设'!$D$23+Q29</x:f>
        <x:v>-166600</x:v>
      </x:c>
      <x:c r="R30" s="15" t="n">
        <x:f>'假设'!$D$23+R29</x:f>
        <x:v>-123750</x:v>
      </x:c>
      <x:c r="S30" s="15" t="n">
        <x:f>'假设'!$D$23+S29</x:f>
        <x:v>-75200</x:v>
      </x:c>
      <x:c r="T30" s="15" t="n">
        <x:f>'假设'!$D$23+T29</x:f>
        <x:v>-20950</x:v>
      </x:c>
      <x:c r="U30" s="15" t="n">
        <x:f>'假设'!$D$23+U29</x:f>
        <x:v>40425</x:v>
      </x:c>
      <x:c r="V30" s="15" t="n">
        <x:f>'假设'!$D$23+V29</x:f>
        <x:v>108925</x:v>
      </x:c>
      <x:c r="W30" s="15" t="n">
        <x:f>'假设'!$D$23+W29</x:f>
        <x:v>184550</x:v>
      </x:c>
      <x:c r="X30" s="15" t="n">
        <x:f>'假设'!$D$23+X29</x:f>
        <x:v>267300</x:v>
      </x:c>
      <x:c r="Y30" s="15" t="n">
        <x:f>'假设'!$D$23+Y29</x:f>
        <x:v>357175</x:v>
      </x:c>
      <x:c r="Z30" s="15" t="n">
        <x:f>'假设'!$D$23+Z29</x:f>
        <x:v>454175</x:v>
      </x:c>
      <x:c r="AA30" s="15" t="n">
        <x:f>'假设'!$D$23+AA29</x:f>
        <x:v>558300</x:v>
      </x:c>
      <x:c r="AB30" s="15" t="n">
        <x:f>'假设'!$D$23+AB29</x:f>
        <x:v>669550</x:v>
      </x:c>
      <x:c r="AC30" s="15" t="n">
        <x:f>'假设'!$D$23+AC29</x:f>
        <x:v>787925</x:v>
      </x:c>
      <x:c r="AD30" s="15" t="n">
        <x:f>'假设'!$D$23+AD29</x:f>
        <x:v>913425</x:v>
      </x:c>
      <x:c r="AE30" s="15" t="n">
        <x:f>'假设'!$D$23+AE29</x:f>
        <x:v>1046050</x:v>
      </x:c>
      <x:c r="AF30" s="15" t="n">
        <x:f>'假设'!$D$23+AF29</x:f>
        <x:v>1185800</x:v>
      </x:c>
      <x:c r="AG30" s="15" t="n">
        <x:f>'假设'!$D$23+AG29</x:f>
        <x:v>1332675</x:v>
      </x:c>
      <x:c r="AH30" s="15" t="n">
        <x:f>'假设'!$D$23+AH29</x:f>
        <x:v>1486675</x:v>
      </x:c>
      <x:c r="AI30" s="15" t="n">
        <x:f>'假设'!$D$23+AI29</x:f>
        <x:v>1640675</x:v>
      </x:c>
      <x:c r="AJ30" s="15" t="n">
        <x:f>'假设'!$D$23+AJ29</x:f>
        <x:v>1794675</x:v>
      </x:c>
      <x:c r="AK30" s="15" t="n">
        <x:f>'假设'!$D$23+AK29</x:f>
        <x:v>1948675</x:v>
      </x:c>
      <x:c r="AL30" s="15" t="n">
        <x:f>'假设'!$D$23+AL29</x:f>
        <x:v>2102675</x:v>
      </x:c>
      <x:c r="AM30" s="15" t="n">
        <x:f>'假设'!$D$23+AM29</x:f>
        <x:v>2256675</x:v>
      </x:c>
      <x:c r="AN30" s="3"/>
    </x:row>
    <x:row r="31" ht="24" customHeight="1">
      <x:c r="A31" s="1"/>
      <x:c r="B31" s="1"/>
      <x:c r="C31" s="1" t="str">
        <x:v>累计回本月标记</x:v>
      </x:c>
      <x:c r="D31" s="15" t="n">
        <x:f>IF(AND(D$5&gt;'假设'!$D$25,D29&gt;=0),D$5,999)</x:f>
        <x:v>999</x:v>
      </x:c>
      <x:c r="E31" s="15" t="n">
        <x:f>IF(AND(E$5&gt;'假设'!$D$25,E29&gt;=0),E$5,999)</x:f>
        <x:v>999</x:v>
      </x:c>
      <x:c r="F31" s="15" t="n">
        <x:f>IF(AND(F$5&gt;'假设'!$D$25,F29&gt;=0),F$5,999)</x:f>
        <x:v>999</x:v>
      </x:c>
      <x:c r="G31" s="15" t="n">
        <x:f>IF(AND(G$5&gt;'假设'!$D$25,G29&gt;=0),G$5,999)</x:f>
        <x:v>999</x:v>
      </x:c>
      <x:c r="H31" s="15" t="n">
        <x:f>IF(AND(H$5&gt;'假设'!$D$25,H29&gt;=0),H$5,999)</x:f>
        <x:v>999</x:v>
      </x:c>
      <x:c r="I31" s="15" t="n">
        <x:f>IF(AND(I$5&gt;'假设'!$D$25,I29&gt;=0),I$5,999)</x:f>
        <x:v>999</x:v>
      </x:c>
      <x:c r="J31" s="15" t="n">
        <x:f>IF(AND(J$5&gt;'假设'!$D$25,J29&gt;=0),J$5,999)</x:f>
        <x:v>999</x:v>
      </x:c>
      <x:c r="K31" s="15" t="n">
        <x:f>IF(AND(K$5&gt;'假设'!$D$25,K29&gt;=0),K$5,999)</x:f>
        <x:v>999</x:v>
      </x:c>
      <x:c r="L31" s="15" t="n">
        <x:f>IF(AND(L$5&gt;'假设'!$D$25,L29&gt;=0),L$5,999)</x:f>
        <x:v>999</x:v>
      </x:c>
      <x:c r="M31" s="15" t="n">
        <x:f>IF(AND(M$5&gt;'假设'!$D$25,M29&gt;=0),M$5,999)</x:f>
        <x:v>999</x:v>
      </x:c>
      <x:c r="N31" s="15" t="n">
        <x:f>IF(AND(N$5&gt;'假设'!$D$25,N29&gt;=0),N$5,999)</x:f>
        <x:v>999</x:v>
      </x:c>
      <x:c r="O31" s="15" t="n">
        <x:f>IF(AND(O$5&gt;'假设'!$D$25,O29&gt;=0),O$5,999)</x:f>
        <x:v>999</x:v>
      </x:c>
      <x:c r="P31" s="15" t="n">
        <x:f>IF(AND(P$5&gt;'假设'!$D$25,P29&gt;=0),P$5,999)</x:f>
        <x:v>999</x:v>
      </x:c>
      <x:c r="Q31" s="15" t="n">
        <x:f>IF(AND(Q$5&gt;'假设'!$D$25,Q29&gt;=0),Q$5,999)</x:f>
        <x:v>999</x:v>
      </x:c>
      <x:c r="R31" s="15" t="n">
        <x:f>IF(AND(R$5&gt;'假设'!$D$25,R29&gt;=0),R$5,999)</x:f>
        <x:v>999</x:v>
      </x:c>
      <x:c r="S31" s="15" t="n">
        <x:f>IF(AND(S$5&gt;'假设'!$D$25,S29&gt;=0),S$5,999)</x:f>
        <x:v>999</x:v>
      </x:c>
      <x:c r="T31" s="15" t="n">
        <x:f>IF(AND(T$5&gt;'假设'!$D$25,T29&gt;=0),T$5,999)</x:f>
        <x:v>999</x:v>
      </x:c>
      <x:c r="U31" s="15" t="n">
        <x:f>IF(AND(U$5&gt;'假设'!$D$25,U29&gt;=0),U$5,999)</x:f>
        <x:v>18</x:v>
      </x:c>
      <x:c r="V31" s="15" t="n">
        <x:f>IF(AND(V$5&gt;'假设'!$D$25,V29&gt;=0),V$5,999)</x:f>
        <x:v>19</x:v>
      </x:c>
      <x:c r="W31" s="15" t="n">
        <x:f>IF(AND(W$5&gt;'假设'!$D$25,W29&gt;=0),W$5,999)</x:f>
        <x:v>20</x:v>
      </x:c>
      <x:c r="X31" s="15" t="n">
        <x:f>IF(AND(X$5&gt;'假设'!$D$25,X29&gt;=0),X$5,999)</x:f>
        <x:v>21</x:v>
      </x:c>
      <x:c r="Y31" s="15" t="n">
        <x:f>IF(AND(Y$5&gt;'假设'!$D$25,Y29&gt;=0),Y$5,999)</x:f>
        <x:v>22</x:v>
      </x:c>
      <x:c r="Z31" s="15" t="n">
        <x:f>IF(AND(Z$5&gt;'假设'!$D$25,Z29&gt;=0),Z$5,999)</x:f>
        <x:v>23</x:v>
      </x:c>
      <x:c r="AA31" s="15" t="n">
        <x:f>IF(AND(AA$5&gt;'假设'!$D$25,AA29&gt;=0),AA$5,999)</x:f>
        <x:v>24</x:v>
      </x:c>
      <x:c r="AB31" s="15" t="n">
        <x:f>IF(AND(AB$5&gt;'假设'!$D$25,AB29&gt;=0),AB$5,999)</x:f>
        <x:v>25</x:v>
      </x:c>
      <x:c r="AC31" s="15" t="n">
        <x:f>IF(AND(AC$5&gt;'假设'!$D$25,AC29&gt;=0),AC$5,999)</x:f>
        <x:v>26</x:v>
      </x:c>
      <x:c r="AD31" s="15" t="n">
        <x:f>IF(AND(AD$5&gt;'假设'!$D$25,AD29&gt;=0),AD$5,999)</x:f>
        <x:v>27</x:v>
      </x:c>
      <x:c r="AE31" s="15" t="n">
        <x:f>IF(AND(AE$5&gt;'假设'!$D$25,AE29&gt;=0),AE$5,999)</x:f>
        <x:v>28</x:v>
      </x:c>
      <x:c r="AF31" s="15" t="n">
        <x:f>IF(AND(AF$5&gt;'假设'!$D$25,AF29&gt;=0),AF$5,999)</x:f>
        <x:v>29</x:v>
      </x:c>
      <x:c r="AG31" s="15" t="n">
        <x:f>IF(AND(AG$5&gt;'假设'!$D$25,AG29&gt;=0),AG$5,999)</x:f>
        <x:v>30</x:v>
      </x:c>
      <x:c r="AH31" s="15" t="n">
        <x:f>IF(AND(AH$5&gt;'假设'!$D$25,AH29&gt;=0),AH$5,999)</x:f>
        <x:v>31</x:v>
      </x:c>
      <x:c r="AI31" s="15" t="n">
        <x:f>IF(AND(AI$5&gt;'假设'!$D$25,AI29&gt;=0),AI$5,999)</x:f>
        <x:v>32</x:v>
      </x:c>
      <x:c r="AJ31" s="15" t="n">
        <x:f>IF(AND(AJ$5&gt;'假设'!$D$25,AJ29&gt;=0),AJ$5,999)</x:f>
        <x:v>33</x:v>
      </x:c>
      <x:c r="AK31" s="15" t="n">
        <x:f>IF(AND(AK$5&gt;'假设'!$D$25,AK29&gt;=0),AK$5,999)</x:f>
        <x:v>34</x:v>
      </x:c>
      <x:c r="AL31" s="15" t="n">
        <x:f>IF(AND(AL$5&gt;'假设'!$D$25,AL29&gt;=0),AL$5,999)</x:f>
        <x:v>35</x:v>
      </x:c>
      <x:c r="AM31" s="15" t="n">
        <x:f>IF(AND(AM$5&gt;'假设'!$D$25,AM29&gt;=0),AM$5,999)</x:f>
        <x:v>36</x:v>
      </x:c>
      <x:c r="AN31" s="3"/>
    </x:row>
    <x:row r="32" ht="24" customHeight="1">
      <x:c r="A32" s="1"/>
      <x:c r="B32" s="1"/>
      <x:c r="C32" s="1" t="str">
        <x:v>单月经营不亏标记</x:v>
      </x:c>
      <x:c r="D32" s="15" t="n">
        <x:f>IF(AND(D$5&gt;'假设'!$D$25,D24&gt;=0),D$5,999)</x:f>
        <x:v>999</x:v>
      </x:c>
      <x:c r="E32" s="15" t="n">
        <x:f>IF(AND(E$5&gt;'假设'!$D$25,E24&gt;=0),E$5,999)</x:f>
        <x:v>999</x:v>
      </x:c>
      <x:c r="F32" s="15" t="n">
        <x:f>IF(AND(F$5&gt;'假设'!$D$25,F24&gt;=0),F$5,999)</x:f>
        <x:v>999</x:v>
      </x:c>
      <x:c r="G32" s="15" t="n">
        <x:f>IF(AND(G$5&gt;'假设'!$D$25,G24&gt;=0),G$5,999)</x:f>
        <x:v>999</x:v>
      </x:c>
      <x:c r="H32" s="15" t="n">
        <x:f>IF(AND(H$5&gt;'假设'!$D$25,H24&gt;=0),H$5,999)</x:f>
        <x:v>999</x:v>
      </x:c>
      <x:c r="I32" s="15" t="n">
        <x:f>IF(AND(I$5&gt;'假设'!$D$25,I24&gt;=0),I$5,999)</x:f>
        <x:v>999</x:v>
      </x:c>
      <x:c r="J32" s="15" t="n">
        <x:f>IF(AND(J$5&gt;'假设'!$D$25,J24&gt;=0),J$5,999)</x:f>
        <x:v>999</x:v>
      </x:c>
      <x:c r="K32" s="15" t="n">
        <x:f>IF(AND(K$5&gt;'假设'!$D$25,K24&gt;=0),K$5,999)</x:f>
        <x:v>8</x:v>
      </x:c>
      <x:c r="L32" s="15" t="n">
        <x:f>IF(AND(L$5&gt;'假设'!$D$25,L24&gt;=0),L$5,999)</x:f>
        <x:v>9</x:v>
      </x:c>
      <x:c r="M32" s="15" t="n">
        <x:f>IF(AND(M$5&gt;'假设'!$D$25,M24&gt;=0),M$5,999)</x:f>
        <x:v>10</x:v>
      </x:c>
      <x:c r="N32" s="15" t="n">
        <x:f>IF(AND(N$5&gt;'假设'!$D$25,N24&gt;=0),N$5,999)</x:f>
        <x:v>11</x:v>
      </x:c>
      <x:c r="O32" s="15" t="n">
        <x:f>IF(AND(O$5&gt;'假设'!$D$25,O24&gt;=0),O$5,999)</x:f>
        <x:v>12</x:v>
      </x:c>
      <x:c r="P32" s="15" t="n">
        <x:f>IF(AND(P$5&gt;'假设'!$D$25,P24&gt;=0),P$5,999)</x:f>
        <x:v>13</x:v>
      </x:c>
      <x:c r="Q32" s="15" t="n">
        <x:f>IF(AND(Q$5&gt;'假设'!$D$25,Q24&gt;=0),Q$5,999)</x:f>
        <x:v>14</x:v>
      </x:c>
      <x:c r="R32" s="15" t="n">
        <x:f>IF(AND(R$5&gt;'假设'!$D$25,R24&gt;=0),R$5,999)</x:f>
        <x:v>15</x:v>
      </x:c>
      <x:c r="S32" s="15" t="n">
        <x:f>IF(AND(S$5&gt;'假设'!$D$25,S24&gt;=0),S$5,999)</x:f>
        <x:v>16</x:v>
      </x:c>
      <x:c r="T32" s="15" t="n">
        <x:f>IF(AND(T$5&gt;'假设'!$D$25,T24&gt;=0),T$5,999)</x:f>
        <x:v>17</x:v>
      </x:c>
      <x:c r="U32" s="15" t="n">
        <x:f>IF(AND(U$5&gt;'假设'!$D$25,U24&gt;=0),U$5,999)</x:f>
        <x:v>18</x:v>
      </x:c>
      <x:c r="V32" s="15" t="n">
        <x:f>IF(AND(V$5&gt;'假设'!$D$25,V24&gt;=0),V$5,999)</x:f>
        <x:v>19</x:v>
      </x:c>
      <x:c r="W32" s="15" t="n">
        <x:f>IF(AND(W$5&gt;'假设'!$D$25,W24&gt;=0),W$5,999)</x:f>
        <x:v>20</x:v>
      </x:c>
      <x:c r="X32" s="15" t="n">
        <x:f>IF(AND(X$5&gt;'假设'!$D$25,X24&gt;=0),X$5,999)</x:f>
        <x:v>21</x:v>
      </x:c>
      <x:c r="Y32" s="15" t="n">
        <x:f>IF(AND(Y$5&gt;'假设'!$D$25,Y24&gt;=0),Y$5,999)</x:f>
        <x:v>22</x:v>
      </x:c>
      <x:c r="Z32" s="15" t="n">
        <x:f>IF(AND(Z$5&gt;'假设'!$D$25,Z24&gt;=0),Z$5,999)</x:f>
        <x:v>23</x:v>
      </x:c>
      <x:c r="AA32" s="15" t="n">
        <x:f>IF(AND(AA$5&gt;'假设'!$D$25,AA24&gt;=0),AA$5,999)</x:f>
        <x:v>24</x:v>
      </x:c>
      <x:c r="AB32" s="15" t="n">
        <x:f>IF(AND(AB$5&gt;'假设'!$D$25,AB24&gt;=0),AB$5,999)</x:f>
        <x:v>25</x:v>
      </x:c>
      <x:c r="AC32" s="15" t="n">
        <x:f>IF(AND(AC$5&gt;'假设'!$D$25,AC24&gt;=0),AC$5,999)</x:f>
        <x:v>26</x:v>
      </x:c>
      <x:c r="AD32" s="15" t="n">
        <x:f>IF(AND(AD$5&gt;'假设'!$D$25,AD24&gt;=0),AD$5,999)</x:f>
        <x:v>27</x:v>
      </x:c>
      <x:c r="AE32" s="15" t="n">
        <x:f>IF(AND(AE$5&gt;'假设'!$D$25,AE24&gt;=0),AE$5,999)</x:f>
        <x:v>28</x:v>
      </x:c>
      <x:c r="AF32" s="15" t="n">
        <x:f>IF(AND(AF$5&gt;'假设'!$D$25,AF24&gt;=0),AF$5,999)</x:f>
        <x:v>29</x:v>
      </x:c>
      <x:c r="AG32" s="15" t="n">
        <x:f>IF(AND(AG$5&gt;'假设'!$D$25,AG24&gt;=0),AG$5,999)</x:f>
        <x:v>30</x:v>
      </x:c>
      <x:c r="AH32" s="15" t="n">
        <x:f>IF(AND(AH$5&gt;'假设'!$D$25,AH24&gt;=0),AH$5,999)</x:f>
        <x:v>31</x:v>
      </x:c>
      <x:c r="AI32" s="15" t="n">
        <x:f>IF(AND(AI$5&gt;'假设'!$D$25,AI24&gt;=0),AI$5,999)</x:f>
        <x:v>32</x:v>
      </x:c>
      <x:c r="AJ32" s="15" t="n">
        <x:f>IF(AND(AJ$5&gt;'假设'!$D$25,AJ24&gt;=0),AJ$5,999)</x:f>
        <x:v>33</x:v>
      </x:c>
      <x:c r="AK32" s="15" t="n">
        <x:f>IF(AND(AK$5&gt;'假设'!$D$25,AK24&gt;=0),AK$5,999)</x:f>
        <x:v>34</x:v>
      </x:c>
      <x:c r="AL32" s="15" t="n">
        <x:f>IF(AND(AL$5&gt;'假设'!$D$25,AL24&gt;=0),AL$5,999)</x:f>
        <x:v>35</x:v>
      </x:c>
      <x:c r="AM32" s="15" t="n">
        <x:f>IF(AND(AM$5&gt;'假设'!$D$25,AM24&gt;=0),AM$5,999)</x:f>
        <x:v>36</x:v>
      </x:c>
      <x:c r="AN32" s="3"/>
    </x:row>
    <x:row r="33" ht="24" customHeight="1">
      <x:c r="A33" s="1"/>
      <x:c r="B33" s="1"/>
      <x:c r="C33" s="1" t="str">
        <x:v>当月服务费现金收款</x:v>
      </x:c>
      <x:c r="D33" s="15" t="n">
        <x:f>IF('假设'!$D$52=0,D14,0)</x:f>
        <x:v>0</x:v>
      </x:c>
      <x:c r="E33" s="15" t="n">
        <x:f>IF('假设'!$D$52=0,E14,D14)</x:f>
        <x:v>0</x:v>
      </x:c>
      <x:c r="F33" s="15" t="n">
        <x:f>IF('假设'!$D$52=0,F14,E14)</x:f>
        <x:v>0</x:v>
      </x:c>
      <x:c r="G33" s="15" t="n">
        <x:f>IF('假设'!$D$52=0,G14,F14)</x:f>
        <x:v>0</x:v>
      </x:c>
      <x:c r="H33" s="15" t="n">
        <x:f>IF('假设'!$D$52=0,H14,G14)</x:f>
        <x:v>18000</x:v>
      </x:c>
      <x:c r="I33" s="15" t="n">
        <x:f>IF('假设'!$D$52=0,I14,H14)</x:f>
        <x:v>30000</x:v>
      </x:c>
      <x:c r="J33" s="15" t="n">
        <x:f>IF('假设'!$D$52=0,J14,I14)</x:f>
        <x:v>42000</x:v>
      </x:c>
      <x:c r="K33" s="15" t="n">
        <x:f>IF('假设'!$D$52=0,K14,J14)</x:f>
        <x:v>54000</x:v>
      </x:c>
      <x:c r="L33" s="15" t="n">
        <x:f>IF('假设'!$D$52=0,L14,K14)</x:f>
        <x:v>66000</x:v>
      </x:c>
      <x:c r="M33" s="15" t="n">
        <x:f>IF('假设'!$D$52=0,M14,L14)</x:f>
        <x:v>78000</x:v>
      </x:c>
      <x:c r="N33" s="15" t="n">
        <x:f>IF('假设'!$D$52=0,N14,M14)</x:f>
        <x:v>90000</x:v>
      </x:c>
      <x:c r="O33" s="15" t="n">
        <x:f>IF('假设'!$D$52=0,O14,N14)</x:f>
        <x:v>102000</x:v>
      </x:c>
      <x:c r="P33" s="15" t="n">
        <x:f>IF('假设'!$D$52=0,P14,O14)</x:f>
        <x:v>114000</x:v>
      </x:c>
      <x:c r="Q33" s="15" t="n">
        <x:f>IF('假设'!$D$52=0,Q14,P14)</x:f>
        <x:v>126000</x:v>
      </x:c>
      <x:c r="R33" s="15" t="n">
        <x:f>IF('假设'!$D$52=0,R14,Q14)</x:f>
        <x:v>138000</x:v>
      </x:c>
      <x:c r="S33" s="15" t="n">
        <x:f>IF('假设'!$D$52=0,S14,R14)</x:f>
        <x:v>150000</x:v>
      </x:c>
      <x:c r="T33" s="15" t="n">
        <x:f>IF('假设'!$D$52=0,T14,S14)</x:f>
        <x:v>165000</x:v>
      </x:c>
      <x:c r="U33" s="15" t="n">
        <x:f>IF('假设'!$D$52=0,U14,T14)</x:f>
        <x:v>180000</x:v>
      </x:c>
      <x:c r="V33" s="15" t="n">
        <x:f>IF('假设'!$D$52=0,V14,U14)</x:f>
        <x:v>195000</x:v>
      </x:c>
      <x:c r="W33" s="15" t="n">
        <x:f>IF('假设'!$D$52=0,W14,V14)</x:f>
        <x:v>210000</x:v>
      </x:c>
      <x:c r="X33" s="15" t="n">
        <x:f>IF('假设'!$D$52=0,X14,W14)</x:f>
        <x:v>225000</x:v>
      </x:c>
      <x:c r="Y33" s="15" t="n">
        <x:f>IF('假设'!$D$52=0,Y14,X14)</x:f>
        <x:v>240000</x:v>
      </x:c>
      <x:c r="Z33" s="15" t="n">
        <x:f>IF('假设'!$D$52=0,Z14,Y14)</x:f>
        <x:v>255000</x:v>
      </x:c>
      <x:c r="AA33" s="15" t="n">
        <x:f>IF('假设'!$D$52=0,AA14,Z14)</x:f>
        <x:v>270000</x:v>
      </x:c>
      <x:c r="AB33" s="15" t="n">
        <x:f>IF('假设'!$D$52=0,AB14,AA14)</x:f>
        <x:v>285000</x:v>
      </x:c>
      <x:c r="AC33" s="15" t="n">
        <x:f>IF('假设'!$D$52=0,AC14,AB14)</x:f>
        <x:v>300000</x:v>
      </x:c>
      <x:c r="AD33" s="15" t="n">
        <x:f>IF('假设'!$D$52=0,AD14,AC14)</x:f>
        <x:v>315000</x:v>
      </x:c>
      <x:c r="AE33" s="15" t="n">
        <x:f>IF('假设'!$D$52=0,AE14,AD14)</x:f>
        <x:v>330000</x:v>
      </x:c>
      <x:c r="AF33" s="15" t="n">
        <x:f>IF('假设'!$D$52=0,AF14,AE14)</x:f>
        <x:v>345000</x:v>
      </x:c>
      <x:c r="AG33" s="15" t="n">
        <x:f>IF('假设'!$D$52=0,AG14,AF14)</x:f>
        <x:v>360000</x:v>
      </x:c>
      <x:c r="AH33" s="15" t="n">
        <x:f>IF('假设'!$D$52=0,AH14,AG14)</x:f>
        <x:v>360000</x:v>
      </x:c>
      <x:c r="AI33" s="15" t="n">
        <x:f>IF('假设'!$D$52=0,AI14,AH14)</x:f>
        <x:v>360000</x:v>
      </x:c>
      <x:c r="AJ33" s="15" t="n">
        <x:f>IF('假设'!$D$52=0,AJ14,AI14)</x:f>
        <x:v>360000</x:v>
      </x:c>
      <x:c r="AK33" s="15" t="n">
        <x:f>IF('假设'!$D$52=0,AK14,AJ14)</x:f>
        <x:v>360000</x:v>
      </x:c>
      <x:c r="AL33" s="15" t="n">
        <x:f>IF('假设'!$D$52=0,AL14,AK14)</x:f>
        <x:v>360000</x:v>
      </x:c>
      <x:c r="AM33" s="15" t="n">
        <x:f>IF('假设'!$D$52=0,AM14,AL14)</x:f>
        <x:v>360000</x:v>
      </x:c>
      <x:c r="AN33" s="3"/>
    </x:row>
    <x:row r="34" ht="24" customHeight="1">
      <x:c r="A34" s="1"/>
      <x:c r="B34" s="1"/>
      <x:c r="C34" s="1" t="str">
        <x:v>期末服务费应收款</x:v>
      </x:c>
      <x:c r="D34" s="2" t="n">
        <x:f>D14-D33</x:f>
        <x:v>0</x:v>
      </x:c>
      <x:c r="E34" s="2" t="n">
        <x:f>D34+E14-E33</x:f>
        <x:v>0</x:v>
      </x:c>
      <x:c r="F34" s="2" t="n">
        <x:f>E34+F14-F33</x:f>
        <x:v>0</x:v>
      </x:c>
      <x:c r="G34" s="2" t="n">
        <x:f>F34+G14-G33</x:f>
        <x:v>0</x:v>
      </x:c>
      <x:c r="H34" s="2" t="n">
        <x:f>G34+H14-H33</x:f>
        <x:v>0</x:v>
      </x:c>
      <x:c r="I34" s="2" t="n">
        <x:f>H34+I14-I33</x:f>
        <x:v>0</x:v>
      </x:c>
      <x:c r="J34" s="2" t="n">
        <x:f>I34+J14-J33</x:f>
        <x:v>0</x:v>
      </x:c>
      <x:c r="K34" s="2" t="n">
        <x:f>J34+K14-K33</x:f>
        <x:v>0</x:v>
      </x:c>
      <x:c r="L34" s="2" t="n">
        <x:f>K34+L14-L33</x:f>
        <x:v>0</x:v>
      </x:c>
      <x:c r="M34" s="2" t="n">
        <x:f>L34+M14-M33</x:f>
        <x:v>0</x:v>
      </x:c>
      <x:c r="N34" s="2" t="n">
        <x:f>M34+N14-N33</x:f>
        <x:v>0</x:v>
      </x:c>
      <x:c r="O34" s="2" t="n">
        <x:f>N34+O14-O33</x:f>
        <x:v>0</x:v>
      </x:c>
      <x:c r="P34" s="2" t="n">
        <x:f>O34+P14-P33</x:f>
        <x:v>0</x:v>
      </x:c>
      <x:c r="Q34" s="2" t="n">
        <x:f>P34+Q14-Q33</x:f>
        <x:v>0</x:v>
      </x:c>
      <x:c r="R34" s="2" t="n">
        <x:f>Q34+R14-R33</x:f>
        <x:v>0</x:v>
      </x:c>
      <x:c r="S34" s="2" t="n">
        <x:f>R34+S14-S33</x:f>
        <x:v>0</x:v>
      </x:c>
      <x:c r="T34" s="2" t="n">
        <x:f>S34+T14-T33</x:f>
        <x:v>0</x:v>
      </x:c>
      <x:c r="U34" s="2" t="n">
        <x:f>T34+U14-U33</x:f>
        <x:v>0</x:v>
      </x:c>
      <x:c r="V34" s="2" t="n">
        <x:f>U34+V14-V33</x:f>
        <x:v>0</x:v>
      </x:c>
      <x:c r="W34" s="2" t="n">
        <x:f>V34+W14-W33</x:f>
        <x:v>0</x:v>
      </x:c>
      <x:c r="X34" s="2" t="n">
        <x:f>W34+X14-X33</x:f>
        <x:v>0</x:v>
      </x:c>
      <x:c r="Y34" s="2" t="n">
        <x:f>X34+Y14-Y33</x:f>
        <x:v>0</x:v>
      </x:c>
      <x:c r="Z34" s="2" t="n">
        <x:f>Y34+Z14-Z33</x:f>
        <x:v>0</x:v>
      </x:c>
      <x:c r="AA34" s="2" t="n">
        <x:f>Z34+AA14-AA33</x:f>
        <x:v>0</x:v>
      </x:c>
      <x:c r="AB34" s="2" t="n">
        <x:f>AA34+AB14-AB33</x:f>
        <x:v>0</x:v>
      </x:c>
      <x:c r="AC34" s="2" t="n">
        <x:f>AB34+AC14-AC33</x:f>
        <x:v>0</x:v>
      </x:c>
      <x:c r="AD34" s="2" t="n">
        <x:f>AC34+AD14-AD33</x:f>
        <x:v>0</x:v>
      </x:c>
      <x:c r="AE34" s="2" t="n">
        <x:f>AD34+AE14-AE33</x:f>
        <x:v>0</x:v>
      </x:c>
      <x:c r="AF34" s="2" t="n">
        <x:f>AE34+AF14-AF33</x:f>
        <x:v>0</x:v>
      </x:c>
      <x:c r="AG34" s="2" t="n">
        <x:f>AF34+AG14-AG33</x:f>
        <x:v>0</x:v>
      </x:c>
      <x:c r="AH34" s="2" t="n">
        <x:f>AG34+AH14-AH33</x:f>
        <x:v>0</x:v>
      </x:c>
      <x:c r="AI34" s="2" t="n">
        <x:f>AH34+AI14-AI33</x:f>
        <x:v>0</x:v>
      </x:c>
      <x:c r="AJ34" s="2" t="n">
        <x:f>AI34+AJ14-AJ33</x:f>
        <x:v>0</x:v>
      </x:c>
      <x:c r="AK34" s="2" t="n">
        <x:f>AJ34+AK14-AK33</x:f>
        <x:v>0</x:v>
      </x:c>
      <x:c r="AL34" s="2" t="n">
        <x:f>AK34+AL14-AL33</x:f>
        <x:v>0</x:v>
      </x:c>
      <x:c r="AM34" s="2" t="n">
        <x:f>AL34+AM14-AM33</x:f>
        <x:v>0</x:v>
      </x:c>
      <x:c r="AN34" s="3"/>
    </x:row>
    <x:row r="35" ht="24" customHeight="1">
      <x:c r="A35" s="1"/>
      <x:c r="B35" s="1"/>
      <x:c r="C35" s="12" t="str">
        <x:v>M5首批获客已计入启动池；M6起新增/替补品牌另付CAC。当月获得品牌当月即完成全部活动。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3"/>
    </x:row>
    <x:row r="36" ht="24" customHeight="1">
      <x:c r="A36" s="1"/>
      <x:c r="B36" s="1"/>
      <x:c r="C36" s="12" t="str">
        <x:v>现金流已含0/1月服务费收款延迟；未计税、利息及其余营运资金；不作税后净利。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3"/>
    </x:row>
    <x:row r="37" ht="24" customHeight="1">
      <x:c r="A37" s="1"/>
      <x:c r="B37" s="1"/>
      <x:c r="C37" s="12" t="str">
        <x:v>固定费用不随规模增长仅为情景假设；扩张需另验容量、招聘、数据吞吐及报价。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3"/>
    </x:row>
    <x:row r="38" ht="24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3"/>
    </x:row>
    <x:row r="39" ht="24" customHeight="1">
      <x:c r="A39" s="1"/>
      <x:c r="B39" s="1"/>
      <x:c r="C39" s="1" t="str">
        <x:v>支付费敏感性：全品牌资金费率</x:v>
      </x:c>
      <x:c r="D39" s="16" t="n">
        <x:f>'假设'!$D$50</x:f>
        <x:v>0.03</x:v>
      </x:c>
      <x:c r="E39" s="16" t="n">
        <x:f>'假设'!$D$50</x:f>
        <x:v>0.03</x:v>
      </x:c>
      <x:c r="F39" s="16" t="n">
        <x:f>'假设'!$D$50</x:f>
        <x:v>0.03</x:v>
      </x:c>
      <x:c r="G39" s="16" t="n">
        <x:f>'假设'!$D$50</x:f>
        <x:v>0.03</x:v>
      </x:c>
      <x:c r="H39" s="16" t="n">
        <x:f>'假设'!$D$50</x:f>
        <x:v>0.03</x:v>
      </x:c>
      <x:c r="I39" s="16" t="n">
        <x:f>'假设'!$D$50</x:f>
        <x:v>0.03</x:v>
      </x:c>
      <x:c r="J39" s="16" t="n">
        <x:f>'假设'!$D$50</x:f>
        <x:v>0.03</x:v>
      </x:c>
      <x:c r="K39" s="16" t="n">
        <x:f>'假设'!$D$50</x:f>
        <x:v>0.03</x:v>
      </x:c>
      <x:c r="L39" s="16" t="n">
        <x:f>'假设'!$D$50</x:f>
        <x:v>0.03</x:v>
      </x:c>
      <x:c r="M39" s="16" t="n">
        <x:f>'假设'!$D$50</x:f>
        <x:v>0.03</x:v>
      </x:c>
      <x:c r="N39" s="16" t="n">
        <x:f>'假设'!$D$50</x:f>
        <x:v>0.03</x:v>
      </x:c>
      <x:c r="O39" s="16" t="n">
        <x:f>'假设'!$D$50</x:f>
        <x:v>0.03</x:v>
      </x:c>
      <x:c r="P39" s="16" t="n">
        <x:f>'假设'!$D$50</x:f>
        <x:v>0.03</x:v>
      </x:c>
      <x:c r="Q39" s="16" t="n">
        <x:f>'假设'!$D$50</x:f>
        <x:v>0.03</x:v>
      </x:c>
      <x:c r="R39" s="16" t="n">
        <x:f>'假设'!$D$50</x:f>
        <x:v>0.03</x:v>
      </x:c>
      <x:c r="S39" s="16" t="n">
        <x:f>'假设'!$D$50</x:f>
        <x:v>0.03</x:v>
      </x:c>
      <x:c r="T39" s="16" t="n">
        <x:f>'假设'!$D$50</x:f>
        <x:v>0.03</x:v>
      </x:c>
      <x:c r="U39" s="16" t="n">
        <x:f>'假设'!$D$50</x:f>
        <x:v>0.03</x:v>
      </x:c>
      <x:c r="V39" s="16" t="n">
        <x:f>'假设'!$D$50</x:f>
        <x:v>0.03</x:v>
      </x:c>
      <x:c r="W39" s="16" t="n">
        <x:f>'假设'!$D$50</x:f>
        <x:v>0.03</x:v>
      </x:c>
      <x:c r="X39" s="16" t="n">
        <x:f>'假设'!$D$50</x:f>
        <x:v>0.03</x:v>
      </x:c>
      <x:c r="Y39" s="16" t="n">
        <x:f>'假设'!$D$50</x:f>
        <x:v>0.03</x:v>
      </x:c>
      <x:c r="Z39" s="16" t="n">
        <x:f>'假设'!$D$50</x:f>
        <x:v>0.03</x:v>
      </x:c>
      <x:c r="AA39" s="16" t="n">
        <x:f>'假设'!$D$50</x:f>
        <x:v>0.03</x:v>
      </x:c>
      <x:c r="AB39" s="16" t="n">
        <x:f>'假设'!$D$50</x:f>
        <x:v>0.03</x:v>
      </x:c>
      <x:c r="AC39" s="16" t="n">
        <x:f>'假设'!$D$50</x:f>
        <x:v>0.03</x:v>
      </x:c>
      <x:c r="AD39" s="16" t="n">
        <x:f>'假设'!$D$50</x:f>
        <x:v>0.03</x:v>
      </x:c>
      <x:c r="AE39" s="16" t="n">
        <x:f>'假设'!$D$50</x:f>
        <x:v>0.03</x:v>
      </x:c>
      <x:c r="AF39" s="16" t="n">
        <x:f>'假设'!$D$50</x:f>
        <x:v>0.03</x:v>
      </x:c>
      <x:c r="AG39" s="16" t="n">
        <x:f>'假设'!$D$50</x:f>
        <x:v>0.03</x:v>
      </x:c>
      <x:c r="AH39" s="16" t="n">
        <x:f>'假设'!$D$50</x:f>
        <x:v>0.03</x:v>
      </x:c>
      <x:c r="AI39" s="16" t="n">
        <x:f>'假设'!$D$50</x:f>
        <x:v>0.03</x:v>
      </x:c>
      <x:c r="AJ39" s="16" t="n">
        <x:f>'假设'!$D$50</x:f>
        <x:v>0.03</x:v>
      </x:c>
      <x:c r="AK39" s="16" t="n">
        <x:f>'假设'!$D$50</x:f>
        <x:v>0.03</x:v>
      </x:c>
      <x:c r="AL39" s="16" t="n">
        <x:f>'假设'!$D$50</x:f>
        <x:v>0.03</x:v>
      </x:c>
      <x:c r="AM39" s="16" t="n">
        <x:f>'假设'!$D$50</x:f>
        <x:v>0.03</x:v>
      </x:c>
      <x:c r="AN39" s="3"/>
    </x:row>
    <x:row r="40" ht="24" customHeight="1">
      <x:c r="A40" s="1"/>
      <x:c r="B40" s="1"/>
      <x:c r="C40" s="1" t="str">
        <x:v>敏感性现金流（同收款账期）</x:v>
      </x:c>
      <x:c r="D40" s="15" t="n">
        <x:f>D28-('单位经济'!$D$7*D39+'假设'!$D$51-'假设'!$D$11)*D6</x:f>
        <x:v>-59437.5</x:v>
      </x:c>
      <x:c r="E40" s="15" t="n">
        <x:f>E28-('单位经济'!$D$7*E39+'假设'!$D$51-'假设'!$D$11)*E6</x:f>
        <x:v>-59437.5</x:v>
      </x:c>
      <x:c r="F40" s="15" t="n">
        <x:f>F28-('单位经济'!$D$7*F39+'假设'!$D$51-'假设'!$D$11)*F6</x:f>
        <x:v>-59437.5</x:v>
      </x:c>
      <x:c r="G40" s="15" t="n">
        <x:f>G28-('单位经济'!$D$7*G39+'假设'!$D$51-'假设'!$D$11)*G6</x:f>
        <x:v>-59437.5</x:v>
      </x:c>
      <x:c r="H40" s="15" t="n">
        <x:f>H28-('单位经济'!$D$7*H39+'假设'!$D$51-'假设'!$D$11)*H6</x:f>
        <x:v>-60340</x:v>
      </x:c>
      <x:c r="I40" s="15" t="n">
        <x:f>I28-('单位经济'!$D$7*I39+'假设'!$D$51-'假设'!$D$11)*I6</x:f>
        <x:v>-12350</x:v>
      </x:c>
      <x:c r="J40" s="15" t="n">
        <x:f>J28-('单位经济'!$D$7*J39+'假设'!$D$51-'假设'!$D$11)*J6</x:f>
        <x:v>-8210</x:v>
      </x:c>
      <x:c r="K40" s="15" t="n">
        <x:f>K28-('单位经济'!$D$7*K39+'假设'!$D$51-'假设'!$D$11)*K6</x:f>
        <x:v>-4070</x:v>
      </x:c>
      <x:c r="L40" s="15" t="n">
        <x:f>L28-('单位经济'!$D$7*L39+'假设'!$D$51-'假设'!$D$11)*L6</x:f>
        <x:v>70</x:v>
      </x:c>
      <x:c r="M40" s="15" t="n">
        <x:f>M28-('单位经济'!$D$7*M39+'假设'!$D$51-'假设'!$D$11)*M6</x:f>
        <x:v>4210</x:v>
      </x:c>
      <x:c r="N40" s="15" t="n">
        <x:f>N28-('单位经济'!$D$7*N39+'假设'!$D$51-'假设'!$D$11)*N6</x:f>
        <x:v>8350</x:v>
      </x:c>
      <x:c r="O40" s="15" t="n">
        <x:f>O28-('单位经济'!$D$7*O39+'假设'!$D$51-'假设'!$D$11)*O6</x:f>
        <x:v>12490</x:v>
      </x:c>
      <x:c r="P40" s="15" t="n">
        <x:f>P28-('单位经济'!$D$7*P39+'假设'!$D$51-'假设'!$D$11)*P6</x:f>
        <x:v>16630</x:v>
      </x:c>
      <x:c r="Q40" s="15" t="n">
        <x:f>Q28-('单位经济'!$D$7*Q39+'假设'!$D$51-'假设'!$D$11)*Q6</x:f>
        <x:v>20770</x:v>
      </x:c>
      <x:c r="R40" s="15" t="n">
        <x:f>R28-('单位经济'!$D$7*R39+'假设'!$D$51-'假设'!$D$11)*R6</x:f>
        <x:v>24910</x:v>
      </x:c>
      <x:c r="S40" s="15" t="n">
        <x:f>S28-('单位经济'!$D$7*S39+'假设'!$D$51-'假设'!$D$11)*S6</x:f>
        <x:v>29050</x:v>
      </x:c>
      <x:c r="T40" s="15" t="n">
        <x:f>T28-('单位经济'!$D$7*T39+'假设'!$D$51-'假设'!$D$11)*T6</x:f>
        <x:v>32800</x:v>
      </x:c>
      <x:c r="U40" s="15" t="n">
        <x:f>U28-('单位经济'!$D$7*U39+'假设'!$D$51-'假设'!$D$11)*U6</x:f>
        <x:v>37975</x:v>
      </x:c>
      <x:c r="V40" s="15" t="n">
        <x:f>V28-('单位经济'!$D$7*V39+'假设'!$D$51-'假设'!$D$11)*V6</x:f>
        <x:v>43150</x:v>
      </x:c>
      <x:c r="W40" s="15" t="n">
        <x:f>W28-('单位经济'!$D$7*W39+'假设'!$D$51-'假设'!$D$11)*W6</x:f>
        <x:v>48325</x:v>
      </x:c>
      <x:c r="X40" s="15" t="n">
        <x:f>X28-('单位经济'!$D$7*X39+'假设'!$D$51-'假设'!$D$11)*X6</x:f>
        <x:v>53500</x:v>
      </x:c>
      <x:c r="Y40" s="15" t="n">
        <x:f>Y28-('单位经济'!$D$7*Y39+'假设'!$D$51-'假设'!$D$11)*Y6</x:f>
        <x:v>58675</x:v>
      </x:c>
      <x:c r="Z40" s="15" t="n">
        <x:f>Z28-('单位经济'!$D$7*Z39+'假设'!$D$51-'假设'!$D$11)*Z6</x:f>
        <x:v>63850</x:v>
      </x:c>
      <x:c r="AA40" s="15" t="n">
        <x:f>AA28-('单位经济'!$D$7*AA39+'假设'!$D$51-'假设'!$D$11)*AA6</x:f>
        <x:v>69025</x:v>
      </x:c>
      <x:c r="AB40" s="15" t="n">
        <x:f>AB28-('单位经济'!$D$7*AB39+'假设'!$D$51-'假设'!$D$11)*AB6</x:f>
        <x:v>74200</x:v>
      </x:c>
      <x:c r="AC40" s="15" t="n">
        <x:f>AC28-('单位经济'!$D$7*AC39+'假设'!$D$51-'假设'!$D$11)*AC6</x:f>
        <x:v>79375</x:v>
      </x:c>
      <x:c r="AD40" s="15" t="n">
        <x:f>AD28-('单位经济'!$D$7*AD39+'假设'!$D$51-'假设'!$D$11)*AD6</x:f>
        <x:v>84550</x:v>
      </x:c>
      <x:c r="AE40" s="15" t="n">
        <x:f>AE28-('单位经济'!$D$7*AE39+'假设'!$D$51-'假设'!$D$11)*AE6</x:f>
        <x:v>89725</x:v>
      </x:c>
      <x:c r="AF40" s="15" t="n">
        <x:f>AF28-('单位经济'!$D$7*AF39+'假设'!$D$51-'假设'!$D$11)*AF6</x:f>
        <x:v>94900</x:v>
      </x:c>
      <x:c r="AG40" s="15" t="n">
        <x:f>AG28-('单位经济'!$D$7*AG39+'假设'!$D$51-'假设'!$D$11)*AG6</x:f>
        <x:v>100075</x:v>
      </x:c>
      <x:c r="AH40" s="15" t="n">
        <x:f>AH28-('单位经济'!$D$7*AH39+'假设'!$D$51-'假设'!$D$11)*AH6</x:f>
        <x:v>107200</x:v>
      </x:c>
      <x:c r="AI40" s="15" t="n">
        <x:f>AI28-('单位经济'!$D$7*AI39+'假设'!$D$51-'假设'!$D$11)*AI6</x:f>
        <x:v>107200</x:v>
      </x:c>
      <x:c r="AJ40" s="15" t="n">
        <x:f>AJ28-('单位经济'!$D$7*AJ39+'假设'!$D$51-'假设'!$D$11)*AJ6</x:f>
        <x:v>107200</x:v>
      </x:c>
      <x:c r="AK40" s="15" t="n">
        <x:f>AK28-('单位经济'!$D$7*AK39+'假设'!$D$51-'假设'!$D$11)*AK6</x:f>
        <x:v>107200</x:v>
      </x:c>
      <x:c r="AL40" s="15" t="n">
        <x:f>AL28-('单位经济'!$D$7*AL39+'假设'!$D$51-'假设'!$D$11)*AL6</x:f>
        <x:v>107200</x:v>
      </x:c>
      <x:c r="AM40" s="15" t="n">
        <x:f>AM28-('单位经济'!$D$7*AM39+'假设'!$D$51-'假设'!$D$11)*AM6</x:f>
        <x:v>107200</x:v>
      </x:c>
      <x:c r="AN40" s="3"/>
    </x:row>
    <x:row r="41" ht="24" customHeight="1">
      <x:c r="A41" s="1"/>
      <x:c r="B41" s="1"/>
      <x:c r="C41" s="1" t="str">
        <x:v>敏感性累计现金流</x:v>
      </x:c>
      <x:c r="D41" s="2" t="n">
        <x:f>D40</x:f>
        <x:v>-59437.5</x:v>
      </x:c>
      <x:c r="E41" s="2" t="n">
        <x:f>D41+E40</x:f>
        <x:v>-118875</x:v>
      </x:c>
      <x:c r="F41" s="2" t="n">
        <x:f>E41+F40</x:f>
        <x:v>-178312.5</x:v>
      </x:c>
      <x:c r="G41" s="2" t="n">
        <x:f>F41+G40</x:f>
        <x:v>-237750</x:v>
      </x:c>
      <x:c r="H41" s="2" t="n">
        <x:f>G41+H40</x:f>
        <x:v>-298090</x:v>
      </x:c>
      <x:c r="I41" s="2" t="n">
        <x:f>H41+I40</x:f>
        <x:v>-310440</x:v>
      </x:c>
      <x:c r="J41" s="2" t="n">
        <x:f>I41+J40</x:f>
        <x:v>-318650</x:v>
      </x:c>
      <x:c r="K41" s="2" t="n">
        <x:f>J41+K40</x:f>
        <x:v>-322720</x:v>
      </x:c>
      <x:c r="L41" s="2" t="n">
        <x:f>K41+L40</x:f>
        <x:v>-322650</x:v>
      </x:c>
      <x:c r="M41" s="2" t="n">
        <x:f>L41+M40</x:f>
        <x:v>-318440</x:v>
      </x:c>
      <x:c r="N41" s="2" t="n">
        <x:f>M41+N40</x:f>
        <x:v>-310090</x:v>
      </x:c>
      <x:c r="O41" s="2" t="n">
        <x:f>N41+O40</x:f>
        <x:v>-297600</x:v>
      </x:c>
      <x:c r="P41" s="2" t="n">
        <x:f>O41+P40</x:f>
        <x:v>-280970</x:v>
      </x:c>
      <x:c r="Q41" s="2" t="n">
        <x:f>P41+Q40</x:f>
        <x:v>-260200</x:v>
      </x:c>
      <x:c r="R41" s="2" t="n">
        <x:f>Q41+R40</x:f>
        <x:v>-235290</x:v>
      </x:c>
      <x:c r="S41" s="2" t="n">
        <x:f>R41+S40</x:f>
        <x:v>-206240</x:v>
      </x:c>
      <x:c r="T41" s="2" t="n">
        <x:f>S41+T40</x:f>
        <x:v>-173440</x:v>
      </x:c>
      <x:c r="U41" s="2" t="n">
        <x:f>T41+U40</x:f>
        <x:v>-135465</x:v>
      </x:c>
      <x:c r="V41" s="2" t="n">
        <x:f>U41+V40</x:f>
        <x:v>-92315</x:v>
      </x:c>
      <x:c r="W41" s="2" t="n">
        <x:f>V41+W40</x:f>
        <x:v>-43990</x:v>
      </x:c>
      <x:c r="X41" s="2" t="n">
        <x:f>W41+X40</x:f>
        <x:v>9510</x:v>
      </x:c>
      <x:c r="Y41" s="2" t="n">
        <x:f>X41+Y40</x:f>
        <x:v>68185</x:v>
      </x:c>
      <x:c r="Z41" s="2" t="n">
        <x:f>Y41+Z40</x:f>
        <x:v>132035</x:v>
      </x:c>
      <x:c r="AA41" s="2" t="n">
        <x:f>Z41+AA40</x:f>
        <x:v>201060</x:v>
      </x:c>
      <x:c r="AB41" s="2" t="n">
        <x:f>AA41+AB40</x:f>
        <x:v>275260</x:v>
      </x:c>
      <x:c r="AC41" s="2" t="n">
        <x:f>AB41+AC40</x:f>
        <x:v>354635</x:v>
      </x:c>
      <x:c r="AD41" s="2" t="n">
        <x:f>AC41+AD40</x:f>
        <x:v>439185</x:v>
      </x:c>
      <x:c r="AE41" s="2" t="n">
        <x:f>AD41+AE40</x:f>
        <x:v>528910</x:v>
      </x:c>
      <x:c r="AF41" s="2" t="n">
        <x:f>AE41+AF40</x:f>
        <x:v>623810</x:v>
      </x:c>
      <x:c r="AG41" s="2" t="n">
        <x:f>AF41+AG40</x:f>
        <x:v>723885</x:v>
      </x:c>
      <x:c r="AH41" s="2" t="n">
        <x:f>AG41+AH40</x:f>
        <x:v>831085</x:v>
      </x:c>
      <x:c r="AI41" s="2" t="n">
        <x:f>AH41+AI40</x:f>
        <x:v>938285</x:v>
      </x:c>
      <x:c r="AJ41" s="2" t="n">
        <x:f>AI41+AJ40</x:f>
        <x:v>1045485</x:v>
      </x:c>
      <x:c r="AK41" s="2" t="n">
        <x:f>AJ41+AK40</x:f>
        <x:v>1152685</x:v>
      </x:c>
      <x:c r="AL41" s="2" t="n">
        <x:f>AK41+AL40</x:f>
        <x:v>1259885</x:v>
      </x:c>
      <x:c r="AM41" s="2" t="n">
        <x:f>AL41+AM40</x:f>
        <x:v>1367085</x:v>
      </x:c>
      <x:c r="AN41" s="3"/>
    </x:row>
    <x:row r="42" ht="24" customHeight="1">
      <x:c r="A42" s="1"/>
      <x:c r="B42" s="1"/>
      <x:c r="C42" s="1" t="str">
        <x:v>敏感性回本月标记</x:v>
      </x:c>
      <x:c r="D42" s="15" t="n">
        <x:f>IF(AND(D$5&gt;'假设'!$D$25,D41&gt;=0),D$5,999)</x:f>
        <x:v>999</x:v>
      </x:c>
      <x:c r="E42" s="15" t="n">
        <x:f>IF(AND(E$5&gt;'假设'!$D$25,E41&gt;=0),E$5,999)</x:f>
        <x:v>999</x:v>
      </x:c>
      <x:c r="F42" s="15" t="n">
        <x:f>IF(AND(F$5&gt;'假设'!$D$25,F41&gt;=0),F$5,999)</x:f>
        <x:v>999</x:v>
      </x:c>
      <x:c r="G42" s="15" t="n">
        <x:f>IF(AND(G$5&gt;'假设'!$D$25,G41&gt;=0),G$5,999)</x:f>
        <x:v>999</x:v>
      </x:c>
      <x:c r="H42" s="15" t="n">
        <x:f>IF(AND(H$5&gt;'假设'!$D$25,H41&gt;=0),H$5,999)</x:f>
        <x:v>999</x:v>
      </x:c>
      <x:c r="I42" s="15" t="n">
        <x:f>IF(AND(I$5&gt;'假设'!$D$25,I41&gt;=0),I$5,999)</x:f>
        <x:v>999</x:v>
      </x:c>
      <x:c r="J42" s="15" t="n">
        <x:f>IF(AND(J$5&gt;'假设'!$D$25,J41&gt;=0),J$5,999)</x:f>
        <x:v>999</x:v>
      </x:c>
      <x:c r="K42" s="15" t="n">
        <x:f>IF(AND(K$5&gt;'假设'!$D$25,K41&gt;=0),K$5,999)</x:f>
        <x:v>999</x:v>
      </x:c>
      <x:c r="L42" s="15" t="n">
        <x:f>IF(AND(L$5&gt;'假设'!$D$25,L41&gt;=0),L$5,999)</x:f>
        <x:v>999</x:v>
      </x:c>
      <x:c r="M42" s="15" t="n">
        <x:f>IF(AND(M$5&gt;'假设'!$D$25,M41&gt;=0),M$5,999)</x:f>
        <x:v>999</x:v>
      </x:c>
      <x:c r="N42" s="15" t="n">
        <x:f>IF(AND(N$5&gt;'假设'!$D$25,N41&gt;=0),N$5,999)</x:f>
        <x:v>999</x:v>
      </x:c>
      <x:c r="O42" s="15" t="n">
        <x:f>IF(AND(O$5&gt;'假设'!$D$25,O41&gt;=0),O$5,999)</x:f>
        <x:v>999</x:v>
      </x:c>
      <x:c r="P42" s="15" t="n">
        <x:f>IF(AND(P$5&gt;'假设'!$D$25,P41&gt;=0),P$5,999)</x:f>
        <x:v>999</x:v>
      </x:c>
      <x:c r="Q42" s="15" t="n">
        <x:f>IF(AND(Q$5&gt;'假设'!$D$25,Q41&gt;=0),Q$5,999)</x:f>
        <x:v>999</x:v>
      </x:c>
      <x:c r="R42" s="15" t="n">
        <x:f>IF(AND(R$5&gt;'假设'!$D$25,R41&gt;=0),R$5,999)</x:f>
        <x:v>999</x:v>
      </x:c>
      <x:c r="S42" s="15" t="n">
        <x:f>IF(AND(S$5&gt;'假设'!$D$25,S41&gt;=0),S$5,999)</x:f>
        <x:v>999</x:v>
      </x:c>
      <x:c r="T42" s="15" t="n">
        <x:f>IF(AND(T$5&gt;'假设'!$D$25,T41&gt;=0),T$5,999)</x:f>
        <x:v>999</x:v>
      </x:c>
      <x:c r="U42" s="15" t="n">
        <x:f>IF(AND(U$5&gt;'假设'!$D$25,U41&gt;=0),U$5,999)</x:f>
        <x:v>999</x:v>
      </x:c>
      <x:c r="V42" s="15" t="n">
        <x:f>IF(AND(V$5&gt;'假设'!$D$25,V41&gt;=0),V$5,999)</x:f>
        <x:v>999</x:v>
      </x:c>
      <x:c r="W42" s="15" t="n">
        <x:f>IF(AND(W$5&gt;'假设'!$D$25,W41&gt;=0),W$5,999)</x:f>
        <x:v>999</x:v>
      </x:c>
      <x:c r="X42" s="15" t="n">
        <x:f>IF(AND(X$5&gt;'假设'!$D$25,X41&gt;=0),X$5,999)</x:f>
        <x:v>21</x:v>
      </x:c>
      <x:c r="Y42" s="15" t="n">
        <x:f>IF(AND(Y$5&gt;'假设'!$D$25,Y41&gt;=0),Y$5,999)</x:f>
        <x:v>22</x:v>
      </x:c>
      <x:c r="Z42" s="15" t="n">
        <x:f>IF(AND(Z$5&gt;'假设'!$D$25,Z41&gt;=0),Z$5,999)</x:f>
        <x:v>23</x:v>
      </x:c>
      <x:c r="AA42" s="15" t="n">
        <x:f>IF(AND(AA$5&gt;'假设'!$D$25,AA41&gt;=0),AA$5,999)</x:f>
        <x:v>24</x:v>
      </x:c>
      <x:c r="AB42" s="15" t="n">
        <x:f>IF(AND(AB$5&gt;'假设'!$D$25,AB41&gt;=0),AB$5,999)</x:f>
        <x:v>25</x:v>
      </x:c>
      <x:c r="AC42" s="15" t="n">
        <x:f>IF(AND(AC$5&gt;'假设'!$D$25,AC41&gt;=0),AC$5,999)</x:f>
        <x:v>26</x:v>
      </x:c>
      <x:c r="AD42" s="15" t="n">
        <x:f>IF(AND(AD$5&gt;'假设'!$D$25,AD41&gt;=0),AD$5,999)</x:f>
        <x:v>27</x:v>
      </x:c>
      <x:c r="AE42" s="15" t="n">
        <x:f>IF(AND(AE$5&gt;'假设'!$D$25,AE41&gt;=0),AE$5,999)</x:f>
        <x:v>28</x:v>
      </x:c>
      <x:c r="AF42" s="15" t="n">
        <x:f>IF(AND(AF$5&gt;'假设'!$D$25,AF41&gt;=0),AF$5,999)</x:f>
        <x:v>29</x:v>
      </x:c>
      <x:c r="AG42" s="15" t="n">
        <x:f>IF(AND(AG$5&gt;'假设'!$D$25,AG41&gt;=0),AG$5,999)</x:f>
        <x:v>30</x:v>
      </x:c>
      <x:c r="AH42" s="15" t="n">
        <x:f>IF(AND(AH$5&gt;'假设'!$D$25,AH41&gt;=0),AH$5,999)</x:f>
        <x:v>31</x:v>
      </x:c>
      <x:c r="AI42" s="15" t="n">
        <x:f>IF(AND(AI$5&gt;'假设'!$D$25,AI41&gt;=0),AI$5,999)</x:f>
        <x:v>32</x:v>
      </x:c>
      <x:c r="AJ42" s="15" t="n">
        <x:f>IF(AND(AJ$5&gt;'假设'!$D$25,AJ41&gt;=0),AJ$5,999)</x:f>
        <x:v>33</x:v>
      </x:c>
      <x:c r="AK42" s="15" t="n">
        <x:f>IF(AND(AK$5&gt;'假设'!$D$25,AK41&gt;=0),AK$5,999)</x:f>
        <x:v>34</x:v>
      </x:c>
      <x:c r="AL42" s="15" t="n">
        <x:f>IF(AND(AL$5&gt;'假设'!$D$25,AL41&gt;=0),AL$5,999)</x:f>
        <x:v>35</x:v>
      </x:c>
      <x:c r="AM42" s="15" t="n">
        <x:f>IF(AND(AM$5&gt;'假设'!$D$25,AM41&gt;=0),AM$5,999)</x:f>
        <x:v>36</x:v>
      </x:c>
      <x:c r="AN42" s="3"/>
    </x:row>
    <x:row r="43" ht="24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3"/>
    </x:row>
    <x:row r="44" ht="24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3"/>
    </x:row>
    <x:row r="45"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</x:cols>
  <x:sheetData>
    <x:row r="1" ht="24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</x:row>
    <x:row r="2" ht="24" customHeight="1">
      <x:c r="A2" s="1"/>
      <x:c r="B2" s="1"/>
      <x:c r="C2" s="4" t="str">
        <x:v>Wringy｜品牌获客回收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</x:row>
    <x:row r="3" ht="24" customHeight="1">
      <x:c r="A3" s="1"/>
      <x:c r="B3" s="1"/>
      <x:c r="C3" s="1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</x:row>
    <x:row r="4" ht="24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</x:row>
    <x:row r="5" ht="29" customHeight="1">
      <x:c r="A5" s="1"/>
      <x:c r="B5" s="1"/>
      <x:c r="C5" s="7" t="str">
        <x:v>独立品牌获客经济</x:v>
      </x:c>
      <x:c r="D5" s="8" t="str">
        <x:v>数值</x:v>
      </x:c>
      <x:c r="E5" s="2"/>
      <x:c r="F5" s="2"/>
      <x:c r="G5" s="2"/>
      <x:c r="H5" s="2"/>
      <x:c r="I5" s="2"/>
      <x:c r="J5" s="2"/>
      <x:c r="K5" s="2"/>
      <x:c r="L5" s="2"/>
      <x:c r="M5" s="2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</x:row>
    <x:row r="6" ht="24" customHeight="1">
      <x:c r="A6" s="1"/>
      <x:c r="B6" s="1"/>
      <x:c r="C6" s="1" t="str">
        <x:v>独立品牌CAC</x:v>
      </x:c>
      <x:c r="D6" s="15" t="n">
        <x:f>'假设'!$D$20</x:f>
        <x:v>1500</x:v>
      </x:c>
      <x:c r="E6" s="2"/>
      <x:c r="F6" s="2"/>
      <x:c r="G6" s="2"/>
      <x:c r="H6" s="2"/>
      <x:c r="I6" s="2"/>
      <x:c r="J6" s="2"/>
      <x:c r="K6" s="2"/>
      <x:c r="L6" s="2"/>
      <x:c r="M6" s="2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</x:row>
    <x:row r="7" ht="24" customHeight="1">
      <x:c r="A7" s="1"/>
      <x:c r="B7" s="1"/>
      <x:c r="C7" s="1" t="str">
        <x:v>每月活动／品牌</x:v>
      </x:c>
      <x:c r="D7" s="15" t="n">
        <x:f>'假设'!$D$21</x:f>
        <x:v>2</x:v>
      </x:c>
      <x:c r="E7" s="2"/>
      <x:c r="F7" s="2"/>
      <x:c r="G7" s="2"/>
      <x:c r="H7" s="2"/>
      <x:c r="I7" s="2"/>
      <x:c r="J7" s="2"/>
      <x:c r="K7" s="2"/>
      <x:c r="L7" s="2"/>
      <x:c r="M7" s="2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</x:row>
    <x:row r="8" ht="24" customHeight="1">
      <x:c r="A8" s="1"/>
      <x:c r="B8" s="1"/>
      <x:c r="C8" s="1" t="str">
        <x:v>每场贡献（已扣150佣金）</x:v>
      </x:c>
      <x:c r="D8" s="15" t="n">
        <x:f>'单位经济'!D13</x:f>
        <x:v>750</x:v>
      </x:c>
      <x:c r="E8" s="2"/>
      <x:c r="F8" s="2"/>
      <x:c r="G8" s="2"/>
      <x:c r="H8" s="2"/>
      <x:c r="I8" s="2"/>
      <x:c r="J8" s="2"/>
      <x:c r="K8" s="2"/>
      <x:c r="L8" s="2"/>
      <x:c r="M8" s="2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</x:row>
    <x:row r="9" ht="24" customHeight="1">
      <x:c r="A9" s="1"/>
      <x:c r="B9" s="1"/>
      <x:c r="C9" s="1" t="str">
        <x:v>每品牌月贡献</x:v>
      </x:c>
      <x:c r="D9" s="2" t="n">
        <x:f>D7*D8</x:f>
        <x:v>1500</x:v>
      </x:c>
      <x:c r="E9" s="2"/>
      <x:c r="F9" s="2"/>
      <x:c r="G9" s="2"/>
      <x:c r="H9" s="2"/>
      <x:c r="I9" s="2"/>
      <x:c r="J9" s="2"/>
      <x:c r="K9" s="2"/>
      <x:c r="L9" s="2"/>
      <x:c r="M9" s="2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</x:row>
    <x:row r="10" ht="24" customHeight="1">
      <x:c r="A10" s="1"/>
      <x:c r="B10" s="1"/>
      <x:c r="C10" s="1" t="str">
        <x:v>简单回收期（月；持续采购）</x:v>
      </x:c>
      <x:c r="D10" s="2" t="n">
        <x:f>IF(D9&lt;=0,"无法回收",D6/D9)</x:f>
        <x:v>1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</x:row>
    <x:row r="11" ht="24" customHeight="1">
      <x:c r="A11" s="1"/>
      <x:c r="B11" s="1"/>
      <x:c r="C11" s="1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3"/>
      <x:c r="AG11" s="3"/>
      <x:c r="AH11" s="3"/>
      <x:c r="AI11" s="3"/>
      <x:c r="AJ11" s="3"/>
      <x:c r="AK11" s="3"/>
      <x:c r="AL11" s="3"/>
      <x:c r="AM11" s="3"/>
      <x:c r="AN11" s="3"/>
    </x:row>
    <x:row r="12" ht="24" customHeight="1">
      <x:c r="A12" s="1"/>
      <x:c r="B12" s="1"/>
      <x:c r="C12" s="12" t="str">
        <x:v>单品牌持续每月2场、不流失的简单回收期；非观察到的客户群回收期。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</x:row>
    <x:row r="13" ht="24" customHeight="1">
      <x:c r="A13" s="1"/>
      <x:c r="B13" s="1"/>
      <x:c r="C13" s="12" t="str">
        <x:v>下表为1个新品牌的留存期望贡献；第1月完整贡献，第2月起按留存衰减。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</x:row>
    <x:row r="14" ht="24" customHeight="1">
      <x:c r="A14" s="1"/>
      <x:c r="B14" s="1"/>
      <x:c r="C14" s="1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</x:row>
    <x:row r="15" ht="29" customHeight="1">
      <x:c r="A15" s="1"/>
      <x:c r="B15" s="1"/>
      <x:c r="C15" s="7" t="str">
        <x:v>品牌年龄（月）</x:v>
      </x:c>
      <x:c r="D15" s="8" t="str">
        <x:v>预期留存品牌</x:v>
      </x:c>
      <x:c r="E15" s="8" t="str">
        <x:v>月贡献</x:v>
      </x:c>
      <x:c r="F15" s="8" t="str">
        <x:v>累计贡献</x:v>
      </x:c>
      <x:c r="G15" s="8" t="str">
        <x:v>扣CAC后累计</x:v>
      </x:c>
      <x:c r="H15" s="2"/>
      <x:c r="I15" s="2"/>
      <x:c r="J15" s="2"/>
      <x:c r="K15" s="2"/>
      <x:c r="L15" s="2"/>
      <x:c r="M15" s="2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</x:row>
    <x:row r="16" ht="24" customHeight="1">
      <x:c r="A16" s="1"/>
      <x:c r="B16" s="1"/>
      <x:c r="C16" s="26" t="n">
        <x:v>1</x:v>
      </x:c>
      <x:c r="D16" s="16" t="n">
        <x:f>(1-'假设'!$D$22)^(C16-1)</x:f>
        <x:v>1</x:v>
      </x:c>
      <x:c r="E16" s="2" t="n">
        <x:f>D16*$D$9</x:f>
        <x:v>1500</x:v>
      </x:c>
      <x:c r="F16" s="2" t="n">
        <x:f>E16</x:f>
        <x:v>1500</x:v>
      </x:c>
      <x:c r="G16" s="2" t="n">
        <x:f>F16-$D$6</x:f>
        <x:v>0</x:v>
      </x:c>
      <x:c r="H16" s="2"/>
      <x:c r="I16" s="2"/>
      <x:c r="J16" s="2"/>
      <x:c r="K16" s="2"/>
      <x:c r="L16" s="2"/>
      <x:c r="M16" s="2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</x:row>
    <x:row r="17" ht="24" customHeight="1">
      <x:c r="A17" s="1"/>
      <x:c r="B17" s="1"/>
      <x:c r="C17" s="26" t="n">
        <x:v>2</x:v>
      </x:c>
      <x:c r="D17" s="16" t="n">
        <x:f>(1-'假设'!$D$22)^(C17-1)</x:f>
        <x:v>0.95</x:v>
      </x:c>
      <x:c r="E17" s="2" t="n">
        <x:f>D17*$D$9</x:f>
        <x:v>1425</x:v>
      </x:c>
      <x:c r="F17" s="2" t="n">
        <x:f>F16+E17</x:f>
        <x:v>2925</x:v>
      </x:c>
      <x:c r="G17" s="2" t="n">
        <x:f>F17-$D$6</x:f>
        <x:v>1425</x:v>
      </x:c>
      <x:c r="H17" s="2"/>
      <x:c r="I17" s="2"/>
      <x:c r="J17" s="2"/>
      <x:c r="K17" s="2"/>
      <x:c r="L17" s="2"/>
      <x:c r="M17" s="2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</x:row>
    <x:row r="18" ht="24" customHeight="1">
      <x:c r="A18" s="1"/>
      <x:c r="B18" s="1"/>
      <x:c r="C18" s="26" t="n">
        <x:v>3</x:v>
      </x:c>
      <x:c r="D18" s="16" t="n">
        <x:f>(1-'假设'!$D$22)^(C18-1)</x:f>
        <x:v>0.9025</x:v>
      </x:c>
      <x:c r="E18" s="2" t="n">
        <x:f>D18*$D$9</x:f>
        <x:v>1353.75</x:v>
      </x:c>
      <x:c r="F18" s="2" t="n">
        <x:f>F17+E18</x:f>
        <x:v>4278.75</x:v>
      </x:c>
      <x:c r="G18" s="2" t="n">
        <x:f>F18-$D$6</x:f>
        <x:v>2778.75</x:v>
      </x:c>
      <x:c r="H18" s="2"/>
      <x:c r="I18" s="2"/>
      <x:c r="J18" s="2"/>
      <x:c r="K18" s="2"/>
      <x:c r="L18" s="2"/>
      <x:c r="M18" s="2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</x:row>
    <x:row r="19" ht="24" customHeight="1">
      <x:c r="A19" s="1"/>
      <x:c r="B19" s="1"/>
      <x:c r="C19" s="26" t="n">
        <x:v>4</x:v>
      </x:c>
      <x:c r="D19" s="16" t="n">
        <x:f>(1-'假设'!$D$22)^(C19-1)</x:f>
        <x:v>0.8573749999999999</x:v>
      </x:c>
      <x:c r="E19" s="2" t="n">
        <x:f>D19*$D$9</x:f>
        <x:v>1286.0624999999998</x:v>
      </x:c>
      <x:c r="F19" s="2" t="n">
        <x:f>F18+E19</x:f>
        <x:v>5564.8125</x:v>
      </x:c>
      <x:c r="G19" s="2" t="n">
        <x:f>F19-$D$6</x:f>
        <x:v>4064.8125</x:v>
      </x:c>
      <x:c r="H19" s="2"/>
      <x:c r="I19" s="2"/>
      <x:c r="J19" s="2"/>
      <x:c r="K19" s="2"/>
      <x:c r="L19" s="2"/>
      <x:c r="M19" s="2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</x:row>
    <x:row r="20" ht="24" customHeight="1">
      <x:c r="A20" s="1"/>
      <x:c r="B20" s="1"/>
      <x:c r="C20" s="26" t="n">
        <x:v>5</x:v>
      </x:c>
      <x:c r="D20" s="16" t="n">
        <x:f>(1-'假设'!$D$22)^(C20-1)</x:f>
        <x:v>0.8145062499999999</x:v>
      </x:c>
      <x:c r="E20" s="2" t="n">
        <x:f>D20*$D$9</x:f>
        <x:v>1221.7593749999999</x:v>
      </x:c>
      <x:c r="F20" s="2" t="n">
        <x:f>F19+E20</x:f>
        <x:v>6786.571875</x:v>
      </x:c>
      <x:c r="G20" s="2" t="n">
        <x:f>F20-$D$6</x:f>
        <x:v>5286.571875</x:v>
      </x:c>
      <x:c r="H20" s="2"/>
      <x:c r="I20" s="2"/>
      <x:c r="J20" s="2"/>
      <x:c r="K20" s="2"/>
      <x:c r="L20" s="2"/>
      <x:c r="M20" s="2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</x:row>
    <x:row r="21" ht="24" customHeight="1">
      <x:c r="A21" s="1"/>
      <x:c r="B21" s="1"/>
      <x:c r="C21" s="26" t="n">
        <x:v>6</x:v>
      </x:c>
      <x:c r="D21" s="16" t="n">
        <x:f>(1-'假设'!$D$22)^(C21-1)</x:f>
        <x:v>0.7737809374999998</x:v>
      </x:c>
      <x:c r="E21" s="2" t="n">
        <x:f>D21*$D$9</x:f>
        <x:v>1160.6714062499996</x:v>
      </x:c>
      <x:c r="F21" s="2" t="n">
        <x:f>F20+E21</x:f>
        <x:v>7947.243281249999</x:v>
      </x:c>
      <x:c r="G21" s="2" t="n">
        <x:f>F21-$D$6</x:f>
        <x:v>6447.243281249999</x:v>
      </x:c>
      <x:c r="H21" s="2"/>
      <x:c r="I21" s="2"/>
      <x:c r="J21" s="2"/>
      <x:c r="K21" s="2"/>
      <x:c r="L21" s="2"/>
      <x:c r="M21" s="2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</x:row>
    <x:row r="22" ht="24" customHeight="1">
      <x:c r="A22" s="1"/>
      <x:c r="B22" s="1"/>
      <x:c r="C22" s="26" t="n">
        <x:v>7</x:v>
      </x:c>
      <x:c r="D22" s="16" t="n">
        <x:f>(1-'假设'!$D$22)^(C22-1)</x:f>
        <x:v>0.7350918906249998</x:v>
      </x:c>
      <x:c r="E22" s="2" t="n">
        <x:f>D22*$D$9</x:f>
        <x:v>1102.6378359374996</x:v>
      </x:c>
      <x:c r="F22" s="2" t="n">
        <x:f>F21+E22</x:f>
        <x:v>9049.881117187499</x:v>
      </x:c>
      <x:c r="G22" s="2" t="n">
        <x:f>F22-$D$6</x:f>
        <x:v>7549.881117187499</x:v>
      </x:c>
      <x:c r="H22" s="2"/>
      <x:c r="I22" s="2"/>
      <x:c r="J22" s="2"/>
      <x:c r="K22" s="2"/>
      <x:c r="L22" s="2"/>
      <x:c r="M22" s="2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</x:row>
    <x:row r="23" ht="24" customHeight="1">
      <x:c r="A23" s="1"/>
      <x:c r="B23" s="1"/>
      <x:c r="C23" s="26" t="n">
        <x:v>8</x:v>
      </x:c>
      <x:c r="D23" s="16" t="n">
        <x:f>(1-'假设'!$D$22)^(C23-1)</x:f>
        <x:v>0.6983372960937497</x:v>
      </x:c>
      <x:c r="E23" s="2" t="n">
        <x:f>D23*$D$9</x:f>
        <x:v>1047.5059441406245</x:v>
      </x:c>
      <x:c r="F23" s="2" t="n">
        <x:f>F22+E23</x:f>
        <x:v>10097.387061328123</x:v>
      </x:c>
      <x:c r="G23" s="2" t="n">
        <x:f>F23-$D$6</x:f>
        <x:v>8597.387061328123</x:v>
      </x:c>
      <x:c r="H23" s="2"/>
      <x:c r="I23" s="2"/>
      <x:c r="J23" s="2"/>
      <x:c r="K23" s="2"/>
      <x:c r="L23" s="2"/>
      <x:c r="M23" s="2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</x:row>
    <x:row r="24" ht="24" customHeight="1">
      <x:c r="A24" s="1"/>
      <x:c r="B24" s="1"/>
      <x:c r="C24" s="26" t="n">
        <x:v>9</x:v>
      </x:c>
      <x:c r="D24" s="16" t="n">
        <x:f>(1-'假设'!$D$22)^(C24-1)</x:f>
        <x:v>0.6634204312890623</x:v>
      </x:c>
      <x:c r="E24" s="2" t="n">
        <x:f>D24*$D$9</x:f>
        <x:v>995.1306469335934</x:v>
      </x:c>
      <x:c r="F24" s="2" t="n">
        <x:f>F23+E24</x:f>
        <x:v>11092.517708261717</x:v>
      </x:c>
      <x:c r="G24" s="2" t="n">
        <x:f>F24-$D$6</x:f>
        <x:v>9592.517708261717</x:v>
      </x:c>
      <x:c r="H24" s="2"/>
      <x:c r="I24" s="2"/>
      <x:c r="J24" s="2"/>
      <x:c r="K24" s="2"/>
      <x:c r="L24" s="2"/>
      <x:c r="M24" s="2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</x:row>
    <x:row r="25" ht="24" customHeight="1">
      <x:c r="A25" s="1"/>
      <x:c r="B25" s="1"/>
      <x:c r="C25" s="26" t="n">
        <x:v>10</x:v>
      </x:c>
      <x:c r="D25" s="16" t="n">
        <x:f>(1-'假设'!$D$22)^(C25-1)</x:f>
        <x:v>0.6302494097246091</x:v>
      </x:c>
      <x:c r="E25" s="2" t="n">
        <x:f>D25*$D$9</x:f>
        <x:v>945.3741145869136</x:v>
      </x:c>
      <x:c r="F25" s="2" t="n">
        <x:f>F24+E25</x:f>
        <x:v>12037.89182284863</x:v>
      </x:c>
      <x:c r="G25" s="2" t="n">
        <x:f>F25-$D$6</x:f>
        <x:v>10537.89182284863</x:v>
      </x:c>
      <x:c r="H25" s="2"/>
      <x:c r="I25" s="2"/>
      <x:c r="J25" s="2"/>
      <x:c r="K25" s="2"/>
      <x:c r="L25" s="2"/>
      <x:c r="M25" s="2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</x:row>
    <x:row r="26" ht="24" customHeight="1">
      <x:c r="A26" s="1"/>
      <x:c r="B26" s="1"/>
      <x:c r="C26" s="26" t="n">
        <x:v>11</x:v>
      </x:c>
      <x:c r="D26" s="16" t="n">
        <x:f>(1-'假设'!$D$22)^(C26-1)</x:f>
        <x:v>0.5987369392383787</x:v>
      </x:c>
      <x:c r="E26" s="2" t="n">
        <x:f>D26*$D$9</x:f>
        <x:v>898.105408857568</x:v>
      </x:c>
      <x:c r="F26" s="2" t="n">
        <x:f>F25+E26</x:f>
        <x:v>12935.997231706198</x:v>
      </x:c>
      <x:c r="G26" s="2" t="n">
        <x:f>F26-$D$6</x:f>
        <x:v>11435.997231706198</x:v>
      </x:c>
      <x:c r="H26" s="2"/>
      <x:c r="I26" s="2"/>
      <x:c r="J26" s="2"/>
      <x:c r="K26" s="2"/>
      <x:c r="L26" s="2"/>
      <x:c r="M26" s="2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</x:row>
    <x:row r="27" ht="24" customHeight="1">
      <x:c r="A27" s="1"/>
      <x:c r="B27" s="1"/>
      <x:c r="C27" s="26" t="n">
        <x:v>12</x:v>
      </x:c>
      <x:c r="D27" s="16" t="n">
        <x:f>(1-'假设'!$D$22)^(C27-1)</x:f>
        <x:v>0.5688000922764597</x:v>
      </x:c>
      <x:c r="E27" s="2" t="n">
        <x:f>D27*$D$9</x:f>
        <x:v>853.2001384146895</x:v>
      </x:c>
      <x:c r="F27" s="2" t="n">
        <x:f>F26+E27</x:f>
        <x:v>13789.197370120888</x:v>
      </x:c>
      <x:c r="G27" s="2" t="n">
        <x:f>F27-$D$6</x:f>
        <x:v>12289.197370120888</x:v>
      </x:c>
      <x:c r="H27" s="2"/>
      <x:c r="I27" s="2"/>
      <x:c r="J27" s="2"/>
      <x:c r="K27" s="2"/>
      <x:c r="L27" s="2"/>
      <x:c r="M27" s="2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</x:row>
    <x:row r="28" ht="24" customHeight="1">
      <x:c r="A28" s="1"/>
      <x:c r="B28" s="1"/>
      <x:c r="C28" s="26" t="n">
        <x:v>13</x:v>
      </x:c>
      <x:c r="D28" s="16" t="n">
        <x:f>(1-'假设'!$D$22)^(C28-1)</x:f>
        <x:v>0.5403600876626367</x:v>
      </x:c>
      <x:c r="E28" s="2" t="n">
        <x:f>D28*$D$9</x:f>
        <x:v>810.540131493955</x:v>
      </x:c>
      <x:c r="F28" s="2" t="n">
        <x:f>F27+E28</x:f>
        <x:v>14599.737501614843</x:v>
      </x:c>
      <x:c r="G28" s="2" t="n">
        <x:f>F28-$D$6</x:f>
        <x:v>13099.737501614843</x:v>
      </x:c>
      <x:c r="H28" s="2"/>
      <x:c r="I28" s="2"/>
      <x:c r="J28" s="2"/>
      <x:c r="K28" s="2"/>
      <x:c r="L28" s="2"/>
      <x:c r="M28" s="2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</x:row>
    <x:row r="29" ht="24" customHeight="1">
      <x:c r="A29" s="1"/>
      <x:c r="B29" s="1"/>
      <x:c r="C29" s="26" t="n">
        <x:v>14</x:v>
      </x:c>
      <x:c r="D29" s="16" t="n">
        <x:f>(1-'假设'!$D$22)^(C29-1)</x:f>
        <x:v>0.5133420832795048</x:v>
      </x:c>
      <x:c r="E29" s="2" t="n">
        <x:f>D29*$D$9</x:f>
        <x:v>770.0131249192572</x:v>
      </x:c>
      <x:c r="F29" s="2" t="n">
        <x:f>F28+E29</x:f>
        <x:v>15369.7506265341</x:v>
      </x:c>
      <x:c r="G29" s="2" t="n">
        <x:f>F29-$D$6</x:f>
        <x:v>13869.7506265341</x:v>
      </x:c>
      <x:c r="H29" s="2"/>
      <x:c r="I29" s="2"/>
      <x:c r="J29" s="2"/>
      <x:c r="K29" s="2"/>
      <x:c r="L29" s="2"/>
      <x:c r="M29" s="2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</x:row>
    <x:row r="30" ht="24" customHeight="1">
      <x:c r="A30" s="1"/>
      <x:c r="B30" s="1"/>
      <x:c r="C30" s="26" t="n">
        <x:v>15</x:v>
      </x:c>
      <x:c r="D30" s="16" t="n">
        <x:f>(1-'假设'!$D$22)^(C30-1)</x:f>
        <x:v>0.48767497911552954</x:v>
      </x:c>
      <x:c r="E30" s="2" t="n">
        <x:f>D30*$D$9</x:f>
        <x:v>731.5124686732943</x:v>
      </x:c>
      <x:c r="F30" s="2" t="n">
        <x:f>F29+E30</x:f>
        <x:v>16101.263095207394</x:v>
      </x:c>
      <x:c r="G30" s="2" t="n">
        <x:f>F30-$D$6</x:f>
        <x:v>14601.263095207394</x:v>
      </x:c>
      <x:c r="H30" s="2"/>
      <x:c r="I30" s="2"/>
      <x:c r="J30" s="2"/>
      <x:c r="K30" s="2"/>
      <x:c r="L30" s="2"/>
      <x:c r="M30" s="2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</x:row>
    <x:row r="31" ht="24" customHeight="1">
      <x:c r="A31" s="1"/>
      <x:c r="B31" s="1"/>
      <x:c r="C31" s="26" t="n">
        <x:v>16</x:v>
      </x:c>
      <x:c r="D31" s="16" t="n">
        <x:f>(1-'假设'!$D$22)^(C31-1)</x:f>
        <x:v>0.46329123015975304</x:v>
      </x:c>
      <x:c r="E31" s="2" t="n">
        <x:f>D31*$D$9</x:f>
        <x:v>694.9368452396295</x:v>
      </x:c>
      <x:c r="F31" s="2" t="n">
        <x:f>F30+E31</x:f>
        <x:v>16796.199940447023</x:v>
      </x:c>
      <x:c r="G31" s="2" t="n">
        <x:f>F31-$D$6</x:f>
        <x:v>15296.199940447023</x:v>
      </x:c>
      <x:c r="H31" s="2"/>
      <x:c r="I31" s="2"/>
      <x:c r="J31" s="2"/>
      <x:c r="K31" s="2"/>
      <x:c r="L31" s="2"/>
      <x:c r="M31" s="2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</x:row>
    <x:row r="32" ht="24" customHeight="1">
      <x:c r="A32" s="1"/>
      <x:c r="B32" s="1"/>
      <x:c r="C32" s="26" t="n">
        <x:v>17</x:v>
      </x:c>
      <x:c r="D32" s="16" t="n">
        <x:f>(1-'假设'!$D$22)^(C32-1)</x:f>
        <x:v>0.44012666865176536</x:v>
      </x:c>
      <x:c r="E32" s="2" t="n">
        <x:f>D32*$D$9</x:f>
        <x:v>660.1900029776481</x:v>
      </x:c>
      <x:c r="F32" s="2" t="n">
        <x:f>F31+E32</x:f>
        <x:v>17456.38994342467</x:v>
      </x:c>
      <x:c r="G32" s="2" t="n">
        <x:f>F32-$D$6</x:f>
        <x:v>15956.38994342467</x:v>
      </x:c>
      <x:c r="H32" s="2"/>
      <x:c r="I32" s="2"/>
      <x:c r="J32" s="2"/>
      <x:c r="K32" s="2"/>
      <x:c r="L32" s="2"/>
      <x:c r="M32" s="2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</x:row>
    <x:row r="33" ht="24" customHeight="1">
      <x:c r="A33" s="1"/>
      <x:c r="B33" s="1"/>
      <x:c r="C33" s="26" t="n">
        <x:v>18</x:v>
      </x:c>
      <x:c r="D33" s="16" t="n">
        <x:f>(1-'假设'!$D$22)^(C33-1)</x:f>
        <x:v>0.4181203352191771</x:v>
      </x:c>
      <x:c r="E33" s="2" t="n">
        <x:f>D33*$D$9</x:f>
        <x:v>627.1805028287656</x:v>
      </x:c>
      <x:c r="F33" s="2" t="n">
        <x:f>F32+E33</x:f>
        <x:v>18083.570446253438</x:v>
      </x:c>
      <x:c r="G33" s="2" t="n">
        <x:f>F33-$D$6</x:f>
        <x:v>16583.570446253438</x:v>
      </x:c>
      <x:c r="H33" s="2"/>
      <x:c r="I33" s="2"/>
      <x:c r="J33" s="2"/>
      <x:c r="K33" s="2"/>
      <x:c r="L33" s="2"/>
      <x:c r="M33" s="2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</x:row>
    <x:row r="34" ht="24" customHeight="1">
      <x:c r="A34" s="1"/>
      <x:c r="B34" s="1"/>
      <x:c r="C34" s="26" t="n">
        <x:v>19</x:v>
      </x:c>
      <x:c r="D34" s="16" t="n">
        <x:f>(1-'假设'!$D$22)^(C34-1)</x:f>
        <x:v>0.3972143184582182</x:v>
      </x:c>
      <x:c r="E34" s="2" t="n">
        <x:f>D34*$D$9</x:f>
        <x:v>595.8214776873273</x:v>
      </x:c>
      <x:c r="F34" s="2" t="n">
        <x:f>F33+E34</x:f>
        <x:v>18679.391923940766</x:v>
      </x:c>
      <x:c r="G34" s="2" t="n">
        <x:f>F34-$D$6</x:f>
        <x:v>17179.391923940766</x:v>
      </x:c>
      <x:c r="H34" s="2"/>
      <x:c r="I34" s="2"/>
      <x:c r="J34" s="2"/>
      <x:c r="K34" s="2"/>
      <x:c r="L34" s="2"/>
      <x:c r="M34" s="2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</x:row>
    <x:row r="35" ht="24" customHeight="1">
      <x:c r="A35" s="1"/>
      <x:c r="B35" s="1"/>
      <x:c r="C35" s="26" t="n">
        <x:v>20</x:v>
      </x:c>
      <x:c r="D35" s="16" t="n">
        <x:f>(1-'假设'!$D$22)^(C35-1)</x:f>
        <x:v>0.37735360253530725</x:v>
      </x:c>
      <x:c r="E35" s="2" t="n">
        <x:f>D35*$D$9</x:f>
        <x:v>566.0304038029609</x:v>
      </x:c>
      <x:c r="F35" s="2" t="n">
        <x:f>F34+E35</x:f>
        <x:v>19245.422327743727</x:v>
      </x:c>
      <x:c r="G35" s="2" t="n">
        <x:f>F35-$D$6</x:f>
        <x:v>17745.422327743727</x:v>
      </x:c>
      <x:c r="H35" s="2"/>
      <x:c r="I35" s="2"/>
      <x:c r="J35" s="2"/>
      <x:c r="K35" s="2"/>
      <x:c r="L35" s="2"/>
      <x:c r="M35" s="2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</x:row>
    <x:row r="36" ht="24" customHeight="1">
      <x:c r="A36" s="1"/>
      <x:c r="B36" s="1"/>
      <x:c r="C36" s="26" t="n">
        <x:v>21</x:v>
      </x:c>
      <x:c r="D36" s="16" t="n">
        <x:f>(1-'假设'!$D$22)^(C36-1)</x:f>
        <x:v>0.3584859224085419</x:v>
      </x:c>
      <x:c r="E36" s="2" t="n">
        <x:f>D36*$D$9</x:f>
        <x:v>537.7288836128129</x:v>
      </x:c>
      <x:c r="F36" s="2" t="n">
        <x:f>F35+E36</x:f>
        <x:v>19783.15121135654</x:v>
      </x:c>
      <x:c r="G36" s="2" t="n">
        <x:f>F36-$D$6</x:f>
        <x:v>18283.15121135654</x:v>
      </x:c>
      <x:c r="H36" s="2"/>
      <x:c r="I36" s="2"/>
      <x:c r="J36" s="2"/>
      <x:c r="K36" s="2"/>
      <x:c r="L36" s="2"/>
      <x:c r="M36" s="2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</x:row>
    <x:row r="37" ht="24" customHeight="1">
      <x:c r="A37" s="1"/>
      <x:c r="B37" s="1"/>
      <x:c r="C37" s="26" t="n">
        <x:v>22</x:v>
      </x:c>
      <x:c r="D37" s="16" t="n">
        <x:f>(1-'假设'!$D$22)^(C37-1)</x:f>
        <x:v>0.3405616262881148</x:v>
      </x:c>
      <x:c r="E37" s="2" t="n">
        <x:f>D37*$D$9</x:f>
        <x:v>510.8424394321722</x:v>
      </x:c>
      <x:c r="F37" s="2" t="n">
        <x:f>F36+E37</x:f>
        <x:v>20293.993650788714</x:v>
      </x:c>
      <x:c r="G37" s="2" t="n">
        <x:f>F37-$D$6</x:f>
        <x:v>18793.993650788714</x:v>
      </x:c>
      <x:c r="H37" s="2"/>
      <x:c r="I37" s="2"/>
      <x:c r="J37" s="2"/>
      <x:c r="K37" s="2"/>
      <x:c r="L37" s="2"/>
      <x:c r="M37" s="2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</x:row>
    <x:row r="38" ht="24" customHeight="1">
      <x:c r="A38" s="1"/>
      <x:c r="B38" s="1"/>
      <x:c r="C38" s="26" t="n">
        <x:v>23</x:v>
      </x:c>
      <x:c r="D38" s="16" t="n">
        <x:f>(1-'假设'!$D$22)^(C38-1)</x:f>
        <x:v>0.323533544973709</x:v>
      </x:c>
      <x:c r="E38" s="2" t="n">
        <x:f>D38*$D$9</x:f>
        <x:v>485.3003174605635</x:v>
      </x:c>
      <x:c r="F38" s="2" t="n">
        <x:f>F37+E38</x:f>
        <x:v>20779.293968249276</x:v>
      </x:c>
      <x:c r="G38" s="2" t="n">
        <x:f>F38-$D$6</x:f>
        <x:v>19279.293968249276</x:v>
      </x:c>
      <x:c r="H38" s="2"/>
      <x:c r="I38" s="2"/>
      <x:c r="J38" s="2"/>
      <x:c r="K38" s="2"/>
      <x:c r="L38" s="2"/>
      <x:c r="M38" s="2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</x:row>
    <x:row r="39" ht="24" customHeight="1">
      <x:c r="A39" s="1"/>
      <x:c r="B39" s="1"/>
      <x:c r="C39" s="26" t="n">
        <x:v>24</x:v>
      </x:c>
      <x:c r="D39" s="16" t="n">
        <x:f>(1-'假设'!$D$22)^(C39-1)</x:f>
        <x:v>0.3073568677250236</x:v>
      </x:c>
      <x:c r="E39" s="2" t="n">
        <x:f>D39*$D$9</x:f>
        <x:v>461.03530158753534</x:v>
      </x:c>
      <x:c r="F39" s="2" t="n">
        <x:f>F38+E39</x:f>
        <x:v>21240.329269836813</x:v>
      </x:c>
      <x:c r="G39" s="2" t="n">
        <x:f>F39-$D$6</x:f>
        <x:v>19740.329269836813</x:v>
      </x:c>
      <x:c r="H39" s="2"/>
      <x:c r="I39" s="2"/>
      <x:c r="J39" s="2"/>
      <x:c r="K39" s="2"/>
      <x:c r="L39" s="2"/>
      <x:c r="M39" s="2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</x:row>
    <x:row r="40" ht="24" customHeight="1">
      <x:c r="A40" s="1"/>
      <x:c r="B40" s="1"/>
      <x:c r="C40" s="26" t="n">
        <x:v>25</x:v>
      </x:c>
      <x:c r="D40" s="16" t="n">
        <x:f>(1-'假设'!$D$22)^(C40-1)</x:f>
        <x:v>0.2919890243387724</x:v>
      </x:c>
      <x:c r="E40" s="2" t="n">
        <x:f>D40*$D$9</x:f>
        <x:v>437.9835365081586</x:v>
      </x:c>
      <x:c r="F40" s="2" t="n">
        <x:f>F39+E40</x:f>
        <x:v>21678.312806344973</x:v>
      </x:c>
      <x:c r="G40" s="2" t="n">
        <x:f>F40-$D$6</x:f>
        <x:v>20178.312806344973</x:v>
      </x:c>
      <x:c r="H40" s="2"/>
      <x:c r="I40" s="2"/>
      <x:c r="J40" s="2"/>
      <x:c r="K40" s="2"/>
      <x:c r="L40" s="2"/>
      <x:c r="M40" s="2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</x:row>
    <x:row r="41" ht="24" customHeight="1">
      <x:c r="A41" s="1"/>
      <x:c r="B41" s="1"/>
      <x:c r="C41" s="26" t="n">
        <x:v>26</x:v>
      </x:c>
      <x:c r="D41" s="16" t="n">
        <x:f>(1-'假设'!$D$22)^(C41-1)</x:f>
        <x:v>0.27738957312183377</x:v>
      </x:c>
      <x:c r="E41" s="2" t="n">
        <x:f>D41*$D$9</x:f>
        <x:v>416.08435968275063</x:v>
      </x:c>
      <x:c r="F41" s="2" t="n">
        <x:f>F40+E41</x:f>
        <x:v>22094.397166027724</x:v>
      </x:c>
      <x:c r="G41" s="2" t="n">
        <x:f>F41-$D$6</x:f>
        <x:v>20594.397166027724</x:v>
      </x:c>
      <x:c r="H41" s="2"/>
      <x:c r="I41" s="2"/>
      <x:c r="J41" s="2"/>
      <x:c r="K41" s="2"/>
      <x:c r="L41" s="2"/>
      <x:c r="M41" s="2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</x:row>
    <x:row r="42" ht="24" customHeight="1">
      <x:c r="A42" s="1"/>
      <x:c r="B42" s="1"/>
      <x:c r="C42" s="26" t="n">
        <x:v>27</x:v>
      </x:c>
      <x:c r="D42" s="16" t="n">
        <x:f>(1-'假设'!$D$22)^(C42-1)</x:f>
        <x:v>0.26352009446574204</x:v>
      </x:c>
      <x:c r="E42" s="2" t="n">
        <x:f>D42*$D$9</x:f>
        <x:v>395.2801416986131</x:v>
      </x:c>
      <x:c r="F42" s="2" t="n">
        <x:f>F41+E42</x:f>
        <x:v>22489.677307726335</x:v>
      </x:c>
      <x:c r="G42" s="2" t="n">
        <x:f>F42-$D$6</x:f>
        <x:v>20989.677307726335</x:v>
      </x:c>
      <x:c r="H42" s="2"/>
      <x:c r="I42" s="2"/>
      <x:c r="J42" s="2"/>
      <x:c r="K42" s="2"/>
      <x:c r="L42" s="2"/>
      <x:c r="M42" s="2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</x:row>
    <x:row r="43" ht="24" customHeight="1">
      <x:c r="A43" s="1"/>
      <x:c r="B43" s="1"/>
      <x:c r="C43" s="26" t="n">
        <x:v>28</x:v>
      </x:c>
      <x:c r="D43" s="16" t="n">
        <x:f>(1-'假设'!$D$22)^(C43-1)</x:f>
        <x:v>0.2503440897424549</x:v>
      </x:c>
      <x:c r="E43" s="2" t="n">
        <x:f>D43*$D$9</x:f>
        <x:v>375.51613461368237</x:v>
      </x:c>
      <x:c r="F43" s="2" t="n">
        <x:f>F42+E43</x:f>
        <x:v>22865.193442340016</x:v>
      </x:c>
      <x:c r="G43" s="2" t="n">
        <x:f>F43-$D$6</x:f>
        <x:v>21365.193442340016</x:v>
      </x:c>
      <x:c r="H43" s="2"/>
      <x:c r="I43" s="2"/>
      <x:c r="J43" s="2"/>
      <x:c r="K43" s="2"/>
      <x:c r="L43" s="2"/>
      <x:c r="M43" s="2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</x:row>
    <x:row r="44" ht="24" customHeight="1">
      <x:c r="A44" s="1"/>
      <x:c r="B44" s="1"/>
      <x:c r="C44" s="26" t="n">
        <x:v>29</x:v>
      </x:c>
      <x:c r="D44" s="16" t="n">
        <x:f>(1-'假设'!$D$22)^(C44-1)</x:f>
        <x:v>0.23782688525533216</x:v>
      </x:c>
      <x:c r="E44" s="2" t="n">
        <x:f>D44*$D$9</x:f>
        <x:v>356.74032788299826</x:v>
      </x:c>
      <x:c r="F44" s="2" t="n">
        <x:f>F43+E44</x:f>
        <x:v>23221.933770223015</x:v>
      </x:c>
      <x:c r="G44" s="2" t="n">
        <x:f>F44-$D$6</x:f>
        <x:v>21721.933770223015</x:v>
      </x:c>
      <x:c r="H44" s="2"/>
      <x:c r="I44" s="2"/>
      <x:c r="J44" s="2"/>
      <x:c r="K44" s="2"/>
      <x:c r="L44" s="2"/>
      <x:c r="M44" s="2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</x:row>
    <x:row r="45" ht="24" customHeight="1">
      <x:c r="A45" s="1"/>
      <x:c r="B45" s="1"/>
      <x:c r="C45" s="26" t="n">
        <x:v>30</x:v>
      </x:c>
      <x:c r="D45" s="16" t="n">
        <x:f>(1-'假设'!$D$22)^(C45-1)</x:f>
        <x:v>0.22593554099256555</x:v>
      </x:c>
      <x:c r="E45" s="2" t="n">
        <x:f>D45*$D$9</x:f>
        <x:v>338.9033114888483</x:v>
      </x:c>
      <x:c r="F45" s="2" t="n">
        <x:f>F44+E45</x:f>
        <x:v>23560.837081711863</x:v>
      </x:c>
      <x:c r="G45" s="2" t="n">
        <x:f>F45-$D$6</x:f>
        <x:v>22060.837081711863</x:v>
      </x:c>
      <x:c r="H45" s="2"/>
      <x:c r="I45" s="2"/>
      <x:c r="J45" s="2"/>
      <x:c r="K45" s="2"/>
      <x:c r="L45" s="2"/>
      <x:c r="M45" s="2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</x:row>
    <x:row r="46" ht="24" customHeight="1">
      <x:c r="A46" s="1"/>
      <x:c r="B46" s="1"/>
      <x:c r="C46" s="26" t="n">
        <x:v>31</x:v>
      </x:c>
      <x:c r="D46" s="16" t="n">
        <x:f>(1-'假设'!$D$22)^(C46-1)</x:f>
        <x:v>0.21463876394293727</x:v>
      </x:c>
      <x:c r="E46" s="1" t="n">
        <x:f>D46*$D$9</x:f>
        <x:v>321.9581459144059</x:v>
      </x:c>
      <x:c r="F46" s="1" t="n">
        <x:f>F45+E46</x:f>
        <x:v>23882.79522762627</x:v>
      </x:c>
      <x:c r="G46" s="1" t="n">
        <x:f>F46-$D$6</x:f>
        <x:v>22382.79522762627</x:v>
      </x:c>
      <x:c r="H46" s="1"/>
      <x:c r="I46" s="1"/>
      <x:c r="J46" s="1"/>
      <x:c r="K46" s="1"/>
      <x:c r="L46" s="1"/>
      <x:c r="M46" s="1"/>
    </x:row>
    <x:row r="47" ht="24" customHeight="1">
      <x:c r="A47" s="1"/>
      <x:c r="B47" s="1"/>
      <x:c r="C47" s="26" t="n">
        <x:v>32</x:v>
      </x:c>
      <x:c r="D47" s="16" t="n">
        <x:f>(1-'假设'!$D$22)^(C47-1)</x:f>
        <x:v>0.2039068257457904</x:v>
      </x:c>
      <x:c r="E47" s="1" t="n">
        <x:f>D47*$D$9</x:f>
        <x:v>305.86023861868557</x:v>
      </x:c>
      <x:c r="F47" s="1" t="n">
        <x:f>F46+E47</x:f>
        <x:v>24188.655466244956</x:v>
      </x:c>
      <x:c r="G47" s="1" t="n">
        <x:f>F47-$D$6</x:f>
        <x:v>22688.655466244956</x:v>
      </x:c>
      <x:c r="H47" s="1"/>
      <x:c r="I47" s="1"/>
      <x:c r="J47" s="1"/>
      <x:c r="K47" s="1"/>
      <x:c r="L47" s="1"/>
      <x:c r="M47" s="1"/>
    </x:row>
    <x:row r="48" ht="24" customHeight="1">
      <x:c r="A48" s="1"/>
      <x:c r="B48" s="1"/>
      <x:c r="C48" s="26" t="n">
        <x:v>33</x:v>
      </x:c>
      <x:c r="D48" s="16" t="n">
        <x:f>(1-'假设'!$D$22)^(C48-1)</x:f>
        <x:v>0.19371148445850087</x:v>
      </x:c>
      <x:c r="E48" s="1" t="n">
        <x:f>D48*$D$9</x:f>
        <x:v>290.5672266877513</x:v>
      </x:c>
      <x:c r="F48" s="1" t="n">
        <x:f>F47+E48</x:f>
        <x:v>24479.222692932708</x:v>
      </x:c>
      <x:c r="G48" s="1" t="n">
        <x:f>F48-$D$6</x:f>
        <x:v>22979.222692932708</x:v>
      </x:c>
      <x:c r="H48" s="1"/>
      <x:c r="I48" s="1"/>
      <x:c r="J48" s="1"/>
      <x:c r="K48" s="1"/>
      <x:c r="L48" s="1"/>
      <x:c r="M48" s="1"/>
    </x:row>
    <x:row r="49" ht="24" customHeight="1">
      <x:c r="A49" s="1"/>
      <x:c r="B49" s="1"/>
      <x:c r="C49" s="26" t="n">
        <x:v>34</x:v>
      </x:c>
      <x:c r="D49" s="16" t="n">
        <x:f>(1-'假设'!$D$22)^(C49-1)</x:f>
        <x:v>0.18402591023557582</x:v>
      </x:c>
      <x:c r="E49" s="1" t="n">
        <x:f>D49*$D$9</x:f>
        <x:v>276.03886535336375</x:v>
      </x:c>
      <x:c r="F49" s="1" t="n">
        <x:f>F48+E49</x:f>
        <x:v>24755.26155828607</x:v>
      </x:c>
      <x:c r="G49" s="1" t="n">
        <x:f>F49-$D$6</x:f>
        <x:v>23255.26155828607</x:v>
      </x:c>
      <x:c r="H49" s="1"/>
      <x:c r="I49" s="1"/>
      <x:c r="J49" s="1"/>
      <x:c r="K49" s="1"/>
      <x:c r="L49" s="1"/>
      <x:c r="M49" s="1"/>
    </x:row>
    <x:row r="50" ht="24" customHeight="1">
      <x:c r="A50" s="1"/>
      <x:c r="B50" s="1"/>
      <x:c r="C50" s="26" t="n">
        <x:v>35</x:v>
      </x:c>
      <x:c r="D50" s="16" t="n">
        <x:f>(1-'假设'!$D$22)^(C50-1)</x:f>
        <x:v>0.174824614723797</x:v>
      </x:c>
      <x:c r="E50" s="1" t="n">
        <x:f>D50*$D$9</x:f>
        <x:v>262.23692208569554</x:v>
      </x:c>
      <x:c r="F50" s="1" t="n">
        <x:f>F49+E50</x:f>
        <x:v>25017.498480371767</x:v>
      </x:c>
      <x:c r="G50" s="1" t="n">
        <x:f>F50-$D$6</x:f>
        <x:v>23517.498480371767</x:v>
      </x:c>
      <x:c r="H50" s="1"/>
      <x:c r="I50" s="1"/>
      <x:c r="J50" s="1"/>
      <x:c r="K50" s="1"/>
      <x:c r="L50" s="1"/>
      <x:c r="M50" s="1"/>
    </x:row>
    <x:row r="51" ht="24" customHeight="1">
      <x:c r="A51" s="1"/>
      <x:c r="B51" s="1"/>
      <x:c r="C51" s="26" t="n">
        <x:v>36</x:v>
      </x:c>
      <x:c r="D51" s="16" t="n">
        <x:f>(1-'假设'!$D$22)^(C51-1)</x:f>
        <x:v>0.16608338398760716</x:v>
      </x:c>
      <x:c r="E51" s="1" t="n">
        <x:f>D51*$D$9</x:f>
        <x:v>249.12507598141076</x:v>
      </x:c>
      <x:c r="F51" s="1" t="n">
        <x:f>F50+E51</x:f>
        <x:v>25266.623556353177</x:v>
      </x:c>
      <x:c r="G51" s="1" t="n">
        <x:f>F51-$D$6</x:f>
        <x:v>23766.623556353177</x:v>
      </x:c>
      <x:c r="H51" s="1"/>
      <x:c r="I51" s="1"/>
      <x:c r="J51" s="1"/>
      <x:c r="K51" s="1"/>
      <x:c r="L51" s="1"/>
      <x:c r="M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 ht="24" customHeight="1">
      <x:c r="A54" s="1"/>
      <x:c r="B54" s="1"/>
      <x:c r="C54" s="12" t="str">
        <x:v>这是贡献口径回收，不分摊固定支出；无销售前置周期、退款或复购延迟假设。</x:v>
      </x:c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73D2A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</x:cols>
  <x:sheetData>
    <x:row r="1" ht="24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</x:row>
    <x:row r="2" ht="24" customHeight="1">
      <x:c r="A2" s="1"/>
      <x:c r="B2" s="1"/>
      <x:c r="C2" s="4" t="str">
        <x:v>Wringy｜敏感性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</x:row>
    <x:row r="3" ht="24" customHeight="1">
      <x:c r="A3" s="1"/>
      <x:c r="B3" s="1"/>
      <x:c r="C3" s="12" t="str">
        <x:v>公式即时计算｜每月经营结果：未含新增品牌CAC；其影响见下方独立敏感性。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</x:row>
    <x:row r="4" ht="24" customHeight="1">
      <x:c r="A4" s="1"/>
      <x:c r="B4" s="1"/>
      <x:c r="C4" s="1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</x:row>
    <x:row r="5" ht="29" customHeight="1">
      <x:c r="A5" s="1"/>
      <x:c r="B5" s="1"/>
      <x:c r="C5" s="7" t="str">
        <x:v>活动数／服务费率</x:v>
      </x:c>
      <x:c r="D5" s="28" t="n">
        <x:v>0.1</x:v>
      </x:c>
      <x:c r="E5" s="28" t="n">
        <x:v>0.125</x:v>
      </x:c>
      <x:c r="F5" s="28" t="n">
        <x:v>0.15</x:v>
      </x:c>
      <x:c r="G5" s="28" t="n">
        <x:v>0.175</x:v>
      </x:c>
      <x:c r="H5" s="28" t="n">
        <x:v>0.2</x:v>
      </x:c>
      <x:c r="I5" s="2"/>
      <x:c r="J5" s="2"/>
      <x:c r="K5" s="2"/>
      <x:c r="L5" s="2"/>
      <x:c r="M5" s="2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</x:row>
    <x:row r="6" ht="24" customHeight="1">
      <x:c r="A6" s="1"/>
      <x:c r="B6" s="1"/>
      <x:c r="C6" s="26" t="n">
        <x:v>10</x:v>
      </x:c>
      <x:c r="D6" s="15" t="n">
        <x:f>$C6*('假设'!$D$6*D$5-'单位经济'!$D$11-'假设'!$D$13)-'单位经济'!$D$21</x:f>
        <x:v>-14500</x:v>
      </x:c>
      <x:c r="E6" s="15" t="n">
        <x:f>$C6*('假设'!$D$6*E$5-'单位经济'!$D$11-'假设'!$D$13)-'单位经济'!$D$21</x:f>
        <x:v>-12000</x:v>
      </x:c>
      <x:c r="F6" s="15" t="n">
        <x:f>$C6*('假设'!$D$6*F$5-'单位经济'!$D$11-'假设'!$D$13)-'单位经济'!$D$21</x:f>
        <x:v>-9500</x:v>
      </x:c>
      <x:c r="G6" s="15" t="n">
        <x:f>$C6*('假设'!$D$6*G$5-'单位经济'!$D$11-'假设'!$D$13)-'单位经济'!$D$21</x:f>
        <x:v>-7000</x:v>
      </x:c>
      <x:c r="H6" s="15" t="n">
        <x:f>$C6*('假设'!$D$6*H$5-'单位经济'!$D$11-'假设'!$D$13)-'单位经济'!$D$21</x:f>
        <x:v>-4500</x:v>
      </x:c>
      <x:c r="I6" s="2"/>
      <x:c r="J6" s="2"/>
      <x:c r="K6" s="2"/>
      <x:c r="L6" s="2"/>
      <x:c r="M6" s="2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</x:row>
    <x:row r="7" ht="24" customHeight="1">
      <x:c r="A7" s="1"/>
      <x:c r="B7" s="1"/>
      <x:c r="C7" s="26" t="n">
        <x:v>20</x:v>
      </x:c>
      <x:c r="D7" s="15" t="n">
        <x:f>$C7*('假设'!$D$6*D$5-'单位经济'!$D$11-'假设'!$D$13)-'单位经济'!$D$21</x:f>
        <x:v>-12000</x:v>
      </x:c>
      <x:c r="E7" s="15" t="n">
        <x:f>$C7*('假设'!$D$6*E$5-'单位经济'!$D$11-'假设'!$D$13)-'单位经济'!$D$21</x:f>
        <x:v>-7000</x:v>
      </x:c>
      <x:c r="F7" s="15" t="n">
        <x:f>$C7*('假设'!$D$6*F$5-'单位经济'!$D$11-'假设'!$D$13)-'单位经济'!$D$21</x:f>
        <x:v>-2000</x:v>
      </x:c>
      <x:c r="G7" s="15" t="n">
        <x:f>$C7*('假设'!$D$6*G$5-'单位经济'!$D$11-'假设'!$D$13)-'单位经济'!$D$21</x:f>
        <x:v>3000</x:v>
      </x:c>
      <x:c r="H7" s="15" t="n">
        <x:f>$C7*('假设'!$D$6*H$5-'单位经济'!$D$11-'假设'!$D$13)-'单位经济'!$D$21</x:f>
        <x:v>8000</x:v>
      </x:c>
      <x:c r="I7" s="2"/>
      <x:c r="J7" s="2"/>
      <x:c r="K7" s="2"/>
      <x:c r="L7" s="2"/>
      <x:c r="M7" s="2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</x:row>
    <x:row r="8" ht="24" customHeight="1">
      <x:c r="A8" s="1"/>
      <x:c r="B8" s="1"/>
      <x:c r="C8" s="26" t="n">
        <x:v>23</x:v>
      </x:c>
      <x:c r="D8" s="15" t="n">
        <x:f>$C8*('假设'!$D$6*D$5-'单位经济'!$D$11-'假设'!$D$13)-'单位经济'!$D$21</x:f>
        <x:v>-11250</x:v>
      </x:c>
      <x:c r="E8" s="15" t="n">
        <x:f>$C8*('假设'!$D$6*E$5-'单位经济'!$D$11-'假设'!$D$13)-'单位经济'!$D$21</x:f>
        <x:v>-5500</x:v>
      </x:c>
      <x:c r="F8" s="15" t="n">
        <x:f>$C8*('假设'!$D$6*F$5-'单位经济'!$D$11-'假设'!$D$13)-'单位经济'!$D$21</x:f>
        <x:v>250</x:v>
      </x:c>
      <x:c r="G8" s="15" t="n">
        <x:f>$C8*('假设'!$D$6*G$5-'单位经济'!$D$11-'假设'!$D$13)-'单位经济'!$D$21</x:f>
        <x:v>6000</x:v>
      </x:c>
      <x:c r="H8" s="15" t="n">
        <x:f>$C8*('假设'!$D$6*H$5-'单位经济'!$D$11-'假设'!$D$13)-'单位经济'!$D$21</x:f>
        <x:v>11750</x:v>
      </x:c>
      <x:c r="I8" s="2"/>
      <x:c r="J8" s="2"/>
      <x:c r="K8" s="2"/>
      <x:c r="L8" s="2"/>
      <x:c r="M8" s="2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</x:row>
    <x:row r="9" ht="24" customHeight="1">
      <x:c r="A9" s="1"/>
      <x:c r="B9" s="1"/>
      <x:c r="C9" s="26" t="n">
        <x:v>40</x:v>
      </x:c>
      <x:c r="D9" s="15" t="n">
        <x:f>$C9*('假设'!$D$6*D$5-'单位经济'!$D$11-'假设'!$D$13)-'单位经济'!$D$21</x:f>
        <x:v>-7000</x:v>
      </x:c>
      <x:c r="E9" s="15" t="n">
        <x:f>$C9*('假设'!$D$6*E$5-'单位经济'!$D$11-'假设'!$D$13)-'单位经济'!$D$21</x:f>
        <x:v>3000</x:v>
      </x:c>
      <x:c r="F9" s="15" t="n">
        <x:f>$C9*('假设'!$D$6*F$5-'单位经济'!$D$11-'假设'!$D$13)-'单位经济'!$D$21</x:f>
        <x:v>13000</x:v>
      </x:c>
      <x:c r="G9" s="15" t="n">
        <x:f>$C9*('假设'!$D$6*G$5-'单位经济'!$D$11-'假设'!$D$13)-'单位经济'!$D$21</x:f>
        <x:v>23000</x:v>
      </x:c>
      <x:c r="H9" s="15" t="n">
        <x:f>$C9*('假设'!$D$6*H$5-'单位经济'!$D$11-'假设'!$D$13)-'单位经济'!$D$21</x:f>
        <x:v>33000</x:v>
      </x:c>
      <x:c r="I9" s="2"/>
      <x:c r="J9" s="2"/>
      <x:c r="K9" s="2"/>
      <x:c r="L9" s="2"/>
      <x:c r="M9" s="2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</x:row>
    <x:row r="10" ht="24" customHeight="1">
      <x:c r="A10" s="1"/>
      <x:c r="B10" s="1"/>
      <x:c r="C10" s="26" t="n">
        <x:v>80</x:v>
      </x:c>
      <x:c r="D10" s="15" t="n">
        <x:f>$C10*('假设'!$D$6*D$5-'单位经济'!$D$11-'假设'!$D$13)-'单位经济'!$D$21</x:f>
        <x:v>3000</x:v>
      </x:c>
      <x:c r="E10" s="15" t="n">
        <x:f>$C10*('假设'!$D$6*E$5-'单位经济'!$D$11-'假设'!$D$13)-'单位经济'!$D$21</x:f>
        <x:v>23000</x:v>
      </x:c>
      <x:c r="F10" s="15" t="n">
        <x:f>$C10*('假设'!$D$6*F$5-'单位经济'!$D$11-'假设'!$D$13)-'单位经济'!$D$21</x:f>
        <x:v>43000</x:v>
      </x:c>
      <x:c r="G10" s="15" t="n">
        <x:f>$C10*('假设'!$D$6*G$5-'单位经济'!$D$11-'假设'!$D$13)-'单位经济'!$D$21</x:f>
        <x:v>63000</x:v>
      </x:c>
      <x:c r="H10" s="15" t="n">
        <x:f>$C10*('假设'!$D$6*H$5-'单位经济'!$D$11-'假设'!$D$13)-'单位经济'!$D$21</x:f>
        <x:v>83000</x:v>
      </x:c>
      <x:c r="I10" s="2"/>
      <x:c r="J10" s="2"/>
      <x:c r="K10" s="2"/>
      <x:c r="L10" s="2"/>
      <x:c r="M10" s="2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</x:row>
    <x:row r="11" ht="24" customHeight="1">
      <x:c r="A11" s="1"/>
      <x:c r="B11" s="1"/>
      <x:c r="C11" s="26" t="n">
        <x:v>160</x:v>
      </x:c>
      <x:c r="D11" s="15" t="n">
        <x:f>$C11*('假设'!$D$6*D$5-'单位经济'!$D$11-'假设'!$D$13)-'单位经济'!$D$21</x:f>
        <x:v>23000</x:v>
      </x:c>
      <x:c r="E11" s="15" t="n">
        <x:f>$C11*('假设'!$D$6*E$5-'单位经济'!$D$11-'假设'!$D$13)-'单位经济'!$D$21</x:f>
        <x:v>63000</x:v>
      </x:c>
      <x:c r="F11" s="15" t="n">
        <x:f>$C11*('假设'!$D$6*F$5-'单位经济'!$D$11-'假设'!$D$13)-'单位经济'!$D$21</x:f>
        <x:v>103000</x:v>
      </x:c>
      <x:c r="G11" s="15" t="n">
        <x:f>$C11*('假设'!$D$6*G$5-'单位经济'!$D$11-'假设'!$D$13)-'单位经济'!$D$21</x:f>
        <x:v>143000</x:v>
      </x:c>
      <x:c r="H11" s="15" t="n">
        <x:f>$C11*('假设'!$D$6*H$5-'单位经济'!$D$11-'假设'!$D$13)-'单位经济'!$D$21</x:f>
        <x:v>183000</x:v>
      </x:c>
      <x:c r="I11" s="2"/>
      <x:c r="J11" s="2"/>
      <x:c r="K11" s="2"/>
      <x:c r="L11" s="2"/>
      <x:c r="M11" s="2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3"/>
      <x:c r="AG11" s="3"/>
      <x:c r="AH11" s="3"/>
      <x:c r="AI11" s="3"/>
      <x:c r="AJ11" s="3"/>
      <x:c r="AK11" s="3"/>
      <x:c r="AL11" s="3"/>
      <x:c r="AM11" s="3"/>
      <x:c r="AN11" s="3"/>
    </x:row>
    <x:row r="12" ht="24" customHeight="1">
      <x:c r="A12" s="1"/>
      <x:c r="B12" s="1"/>
      <x:c r="C12" s="1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</x:row>
    <x:row r="13" ht="24" customHeight="1">
      <x:c r="A13" s="1"/>
      <x:c r="B13" s="1"/>
      <x:c r="C13" s="1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</x:row>
    <x:row r="14" ht="24" customHeight="1">
      <x:c r="A14" s="1"/>
      <x:c r="B14" s="1"/>
      <x:c r="C14" s="1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</x:row>
    <x:row r="15" ht="29" customHeight="1">
      <x:c r="A15" s="1"/>
      <x:c r="B15" s="1"/>
      <x:c r="C15" s="7" t="str">
        <x:v>履约成本／费率</x:v>
      </x:c>
      <x:c r="D15" s="28" t="n">
        <x:v>0.1</x:v>
      </x:c>
      <x:c r="E15" s="28" t="n">
        <x:v>0.125</x:v>
      </x:c>
      <x:c r="F15" s="28" t="n">
        <x:v>0.15</x:v>
      </x:c>
      <x:c r="G15" s="28" t="n">
        <x:v>0.175</x:v>
      </x:c>
      <x:c r="H15" s="28" t="n">
        <x:v>0.2</x:v>
      </x:c>
      <x:c r="I15" s="2"/>
      <x:c r="J15" s="2"/>
      <x:c r="K15" s="2"/>
      <x:c r="L15" s="2"/>
      <x:c r="M15" s="2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</x:row>
    <x:row r="16" ht="24" customHeight="1">
      <x:c r="A16" s="1"/>
      <x:c r="B16" s="1"/>
      <x:c r="C16" s="26" t="n">
        <x:v>400</x:v>
      </x:c>
      <x:c r="D16" s="15" t="n">
        <x:f>IF('假设'!$D$6*D$15-$C16-'假设'!$D$13&lt;=0,"无法达成",ROUNDUP('单位经济'!$D$21/('假设'!$D$6*D$15-$C16-'假设'!$D$13),0))</x:f>
        <x:v>38</x:v>
      </x:c>
      <x:c r="E16" s="15" t="n">
        <x:f>IF('假设'!$D$6*E$15-$C16-'假设'!$D$13&lt;=0,"无法达成",ROUNDUP('单位经济'!$D$21/('假设'!$D$6*E$15-$C16-'假设'!$D$13),0))</x:f>
        <x:v>25</x:v>
      </x:c>
      <x:c r="F16" s="15" t="n">
        <x:f>IF('假设'!$D$6*F$15-$C16-'假设'!$D$13&lt;=0,"无法达成",ROUNDUP('单位经济'!$D$21/('假设'!$D$6*F$15-$C16-'假设'!$D$13),0))</x:f>
        <x:v>18</x:v>
      </x:c>
      <x:c r="G16" s="15" t="n">
        <x:f>IF('假设'!$D$6*G$15-$C16-'假设'!$D$13&lt;=0,"无法达成",ROUNDUP('单位经济'!$D$21/('假设'!$D$6*G$15-$C16-'假设'!$D$13),0))</x:f>
        <x:v>15</x:v>
      </x:c>
      <x:c r="H16" s="15" t="n">
        <x:f>IF('假设'!$D$6*H$15-$C16-'假设'!$D$13&lt;=0,"无法达成",ROUNDUP('单位经济'!$D$21/('假设'!$D$6*H$15-$C16-'假设'!$D$13),0))</x:f>
        <x:v>12</x:v>
      </x:c>
      <x:c r="I16" s="2"/>
      <x:c r="J16" s="2"/>
      <x:c r="K16" s="2"/>
      <x:c r="L16" s="2"/>
      <x:c r="M16" s="2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</x:row>
    <x:row r="17" ht="24" customHeight="1">
      <x:c r="A17" s="1"/>
      <x:c r="B17" s="1"/>
      <x:c r="C17" s="26" t="n">
        <x:v>600</x:v>
      </x:c>
      <x:c r="D17" s="15" t="n">
        <x:f>IF('假设'!$D$6*D$15-$C17-'假设'!$D$13&lt;=0,"无法达成",ROUNDUP('单位经济'!$D$21/('假设'!$D$6*D$15-$C17-'假设'!$D$13),0))</x:f>
        <x:v>68</x:v>
      </x:c>
      <x:c r="E17" s="15" t="n">
        <x:f>IF('假设'!$D$6*E$15-$C17-'假设'!$D$13&lt;=0,"无法达成",ROUNDUP('单位经济'!$D$21/('假设'!$D$6*E$15-$C17-'假设'!$D$13),0))</x:f>
        <x:v>34</x:v>
      </x:c>
      <x:c r="F17" s="15" t="n">
        <x:f>IF('假设'!$D$6*F$15-$C17-'假设'!$D$13&lt;=0,"无法达成",ROUNDUP('单位经济'!$D$21/('假设'!$D$6*F$15-$C17-'假设'!$D$13),0))</x:f>
        <x:v>23</x:v>
      </x:c>
      <x:c r="G17" s="15" t="n">
        <x:f>IF('假设'!$D$6*G$15-$C17-'假设'!$D$13&lt;=0,"无法达成",ROUNDUP('单位经济'!$D$21/('假设'!$D$6*G$15-$C17-'假设'!$D$13),0))</x:f>
        <x:v>17</x:v>
      </x:c>
      <x:c r="H17" s="15" t="n">
        <x:f>IF('假设'!$D$6*H$15-$C17-'假设'!$D$13&lt;=0,"无法达成",ROUNDUP('单位经济'!$D$21/('假设'!$D$6*H$15-$C17-'假设'!$D$13),0))</x:f>
        <x:v>14</x:v>
      </x:c>
      <x:c r="I17" s="2"/>
      <x:c r="J17" s="2"/>
      <x:c r="K17" s="2"/>
      <x:c r="L17" s="2"/>
      <x:c r="M17" s="2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</x:row>
    <x:row r="18" ht="24" customHeight="1">
      <x:c r="A18" s="1"/>
      <x:c r="B18" s="1"/>
      <x:c r="C18" s="26" t="n">
        <x:v>800</x:v>
      </x:c>
      <x:c r="D18" s="15" t="n">
        <x:f>IF('假设'!$D$6*D$15-$C18-'假设'!$D$13&lt;=0,"无法达成",ROUNDUP('单位经济'!$D$21/('假设'!$D$6*D$15-$C18-'假设'!$D$13),0))</x:f>
        <x:v>340</x:v>
      </x:c>
      <x:c r="E18" s="15" t="n">
        <x:f>IF('假设'!$D$6*E$15-$C18-'假设'!$D$13&lt;=0,"无法达成",ROUNDUP('单位经济'!$D$21/('假设'!$D$6*E$15-$C18-'假设'!$D$13),0))</x:f>
        <x:v>57</x:v>
      </x:c>
      <x:c r="F18" s="15" t="n">
        <x:f>IF('假设'!$D$6*F$15-$C18-'假设'!$D$13&lt;=0,"无法达成",ROUNDUP('单位经济'!$D$21/('假设'!$D$6*F$15-$C18-'假设'!$D$13),0))</x:f>
        <x:v>31</x:v>
      </x:c>
      <x:c r="G18" s="15" t="n">
        <x:f>IF('假设'!$D$6*G$15-$C18-'假设'!$D$13&lt;=0,"无法达成",ROUNDUP('单位经济'!$D$21/('假设'!$D$6*G$15-$C18-'假设'!$D$13),0))</x:f>
        <x:v>22</x:v>
      </x:c>
      <x:c r="H18" s="15" t="n">
        <x:f>IF('假设'!$D$6*H$15-$C18-'假设'!$D$13&lt;=0,"无法达成",ROUNDUP('单位经济'!$D$21/('假设'!$D$6*H$15-$C18-'假设'!$D$13),0))</x:f>
        <x:v>17</x:v>
      </x:c>
      <x:c r="I18" s="2"/>
      <x:c r="J18" s="2"/>
      <x:c r="K18" s="2"/>
      <x:c r="L18" s="2"/>
      <x:c r="M18" s="2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</x:row>
    <x:row r="19" ht="24" customHeight="1">
      <x:c r="A19" s="1"/>
      <x:c r="B19" s="1"/>
      <x:c r="C19" s="26" t="n">
        <x:v>1000</x:v>
      </x:c>
      <x:c r="D19" s="15" t="str">
        <x:f>IF('假设'!$D$6*D$15-$C19-'假设'!$D$13&lt;=0,"无法达成",ROUNDUP('单位经济'!$D$21/('假设'!$D$6*D$15-$C19-'假设'!$D$13),0))</x:f>
        <x:v>无法达成</x:v>
      </x:c>
      <x:c r="E19" s="15" t="n">
        <x:f>IF('假设'!$D$6*E$15-$C19-'假设'!$D$13&lt;=0,"无法达成",ROUNDUP('单位经济'!$D$21/('假设'!$D$6*E$15-$C19-'假设'!$D$13),0))</x:f>
        <x:v>170</x:v>
      </x:c>
      <x:c r="F19" s="15" t="n">
        <x:f>IF('假设'!$D$6*F$15-$C19-'假设'!$D$13&lt;=0,"无法达成",ROUNDUP('单位经济'!$D$21/('假设'!$D$6*F$15-$C19-'假设'!$D$13),0))</x:f>
        <x:v>49</x:v>
      </x:c>
      <x:c r="G19" s="15" t="n">
        <x:f>IF('假设'!$D$6*G$15-$C19-'假设'!$D$13&lt;=0,"无法达成",ROUNDUP('单位经济'!$D$21/('假设'!$D$6*G$15-$C19-'假设'!$D$13),0))</x:f>
        <x:v>29</x:v>
      </x:c>
      <x:c r="H19" s="15" t="n">
        <x:f>IF('假设'!$D$6*H$15-$C19-'假设'!$D$13&lt;=0,"无法达成",ROUNDUP('单位经济'!$D$21/('假设'!$D$6*H$15-$C19-'假设'!$D$13),0))</x:f>
        <x:v>20</x:v>
      </x:c>
      <x:c r="I19" s="2"/>
      <x:c r="J19" s="2"/>
      <x:c r="K19" s="2"/>
      <x:c r="L19" s="2"/>
      <x:c r="M19" s="2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</x:row>
    <x:row r="20" ht="24" customHeight="1">
      <x:c r="A20" s="1"/>
      <x:c r="B20" s="1"/>
      <x:c r="C20" s="26" t="n">
        <x:v>1500</x:v>
      </x:c>
      <x:c r="D20" s="15" t="str">
        <x:f>IF('假设'!$D$6*D$15-$C20-'假设'!$D$13&lt;=0,"无法达成",ROUNDUP('单位经济'!$D$21/('假设'!$D$6*D$15-$C20-'假设'!$D$13),0))</x:f>
        <x:v>无法达成</x:v>
      </x:c>
      <x:c r="E20" s="15" t="str">
        <x:f>IF('假设'!$D$6*E$15-$C20-'假设'!$D$13&lt;=0,"无法达成",ROUNDUP('单位经济'!$D$21/('假设'!$D$6*E$15-$C20-'假设'!$D$13),0))</x:f>
        <x:v>无法达成</x:v>
      </x:c>
      <x:c r="F20" s="15" t="str">
        <x:f>IF('假设'!$D$6*F$15-$C20-'假设'!$D$13&lt;=0,"无法达成",ROUNDUP('单位经济'!$D$21/('假设'!$D$6*F$15-$C20-'假设'!$D$13),0))</x:f>
        <x:v>无法达成</x:v>
      </x:c>
      <x:c r="G20" s="15" t="n">
        <x:f>IF('假设'!$D$6*G$15-$C20-'假设'!$D$13&lt;=0,"无法达成",ROUNDUP('单位经济'!$D$21/('假设'!$D$6*G$15-$C20-'假设'!$D$13),0))</x:f>
        <x:v>170</x:v>
      </x:c>
      <x:c r="H20" s="15" t="n">
        <x:f>IF('假设'!$D$6*H$15-$C20-'假设'!$D$13&lt;=0,"无法达成",ROUNDUP('单位经济'!$D$21/('假设'!$D$6*H$15-$C20-'假设'!$D$13),0))</x:f>
        <x:v>49</x:v>
      </x:c>
      <x:c r="I20" s="2"/>
      <x:c r="J20" s="2"/>
      <x:c r="K20" s="2"/>
      <x:c r="L20" s="2"/>
      <x:c r="M20" s="2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</x:row>
    <x:row r="21" ht="24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</x:row>
    <x:row r="22" ht="24" customHeight="1">
      <x:c r="A22" s="1"/>
      <x:c r="B22" s="1"/>
      <x:c r="C22" s="12" t="str">
        <x:v>上表：覆盖固定费用所需活动数（新增品牌CAC之前），向上取整。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</x:row>
    <x:row r="23" ht="24" customHeight="1">
      <x:c r="A23" s="1"/>
      <x:c r="B23" s="1"/>
      <x:c r="C23" s="1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</x:row>
    <x:row r="24" ht="24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</x:row>
    <x:row r="25" ht="29" customHeight="1">
      <x:c r="A25" s="1"/>
      <x:c r="B25" s="1"/>
      <x:c r="C25" s="7" t="str">
        <x:v>新增品牌数／CAC</x:v>
      </x:c>
      <x:c r="D25" s="8" t="n">
        <x:v>750</x:v>
      </x:c>
      <x:c r="E25" s="8" t="n">
        <x:v>1500</x:v>
      </x:c>
      <x:c r="F25" s="8" t="n">
        <x:v>2250</x:v>
      </x:c>
      <x:c r="G25" s="8" t="n">
        <x:v>3000</x:v>
      </x:c>
      <x:c r="H25" s="2"/>
      <x:c r="I25" s="2"/>
      <x:c r="J25" s="2"/>
      <x:c r="K25" s="2"/>
      <x:c r="L25" s="2"/>
      <x:c r="M25" s="2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</x:row>
    <x:row r="26" ht="24" customHeight="1">
      <x:c r="A26" s="1"/>
      <x:c r="B26" s="1"/>
      <x:c r="C26" s="26" t="n">
        <x:v>0</x:v>
      </x:c>
      <x:c r="D26" s="15" t="n">
        <x:f>'单位经济'!$D$22-$C26*D$25</x:f>
        <x:v>-2000</x:v>
      </x:c>
      <x:c r="E26" s="15" t="n">
        <x:f>'单位经济'!$D$22-$C26*E$25</x:f>
        <x:v>-2000</x:v>
      </x:c>
      <x:c r="F26" s="15" t="n">
        <x:f>'单位经济'!$D$22-$C26*F$25</x:f>
        <x:v>-2000</x:v>
      </x:c>
      <x:c r="G26" s="15" t="n">
        <x:f>'单位经济'!$D$22-$C26*G$25</x:f>
        <x:v>-2000</x:v>
      </x:c>
      <x:c r="H26" s="2"/>
      <x:c r="I26" s="2"/>
      <x:c r="J26" s="2"/>
      <x:c r="K26" s="2"/>
      <x:c r="L26" s="2"/>
      <x:c r="M26" s="2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</x:row>
    <x:row r="27" ht="24" customHeight="1">
      <x:c r="A27" s="1"/>
      <x:c r="B27" s="1"/>
      <x:c r="C27" s="26" t="n">
        <x:v>2</x:v>
      </x:c>
      <x:c r="D27" s="15" t="n">
        <x:f>'单位经济'!$D$22-$C27*D$25</x:f>
        <x:v>-3500</x:v>
      </x:c>
      <x:c r="E27" s="15" t="n">
        <x:f>'单位经济'!$D$22-$C27*E$25</x:f>
        <x:v>-5000</x:v>
      </x:c>
      <x:c r="F27" s="15" t="n">
        <x:f>'单位经济'!$D$22-$C27*F$25</x:f>
        <x:v>-6500</x:v>
      </x:c>
      <x:c r="G27" s="15" t="n">
        <x:f>'单位经济'!$D$22-$C27*G$25</x:f>
        <x:v>-8000</x:v>
      </x:c>
      <x:c r="H27" s="2"/>
      <x:c r="I27" s="2"/>
      <x:c r="J27" s="2"/>
      <x:c r="K27" s="2"/>
      <x:c r="L27" s="2"/>
      <x:c r="M27" s="2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</x:row>
    <x:row r="28" ht="24" customHeight="1">
      <x:c r="A28" s="1"/>
      <x:c r="B28" s="1"/>
      <x:c r="C28" s="26" t="n">
        <x:v>5</x:v>
      </x:c>
      <x:c r="D28" s="15" t="n">
        <x:f>'单位经济'!$D$22-$C28*D$25</x:f>
        <x:v>-5750</x:v>
      </x:c>
      <x:c r="E28" s="15" t="n">
        <x:f>'单位经济'!$D$22-$C28*E$25</x:f>
        <x:v>-9500</x:v>
      </x:c>
      <x:c r="F28" s="15" t="n">
        <x:f>'单位经济'!$D$22-$C28*F$25</x:f>
        <x:v>-13250</x:v>
      </x:c>
      <x:c r="G28" s="15" t="n">
        <x:f>'单位经济'!$D$22-$C28*G$25</x:f>
        <x:v>-17000</x:v>
      </x:c>
      <x:c r="H28" s="2"/>
      <x:c r="I28" s="2"/>
      <x:c r="J28" s="2"/>
      <x:c r="K28" s="2"/>
      <x:c r="L28" s="2"/>
      <x:c r="M28" s="2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</x:row>
    <x:row r="29" ht="24" customHeight="1">
      <x:c r="A29" s="1"/>
      <x:c r="B29" s="1"/>
      <x:c r="C29" s="26" t="n">
        <x:v>10</x:v>
      </x:c>
      <x:c r="D29" s="15" t="n">
        <x:f>'单位经济'!$D$22-$C29*D$25</x:f>
        <x:v>-9500</x:v>
      </x:c>
      <x:c r="E29" s="15" t="n">
        <x:f>'单位经济'!$D$22-$C29*E$25</x:f>
        <x:v>-17000</x:v>
      </x:c>
      <x:c r="F29" s="15" t="n">
        <x:f>'单位经济'!$D$22-$C29*F$25</x:f>
        <x:v>-24500</x:v>
      </x:c>
      <x:c r="G29" s="15" t="n">
        <x:f>'单位经济'!$D$22-$C29*G$25</x:f>
        <x:v>-32000</x:v>
      </x:c>
      <x:c r="H29" s="2"/>
      <x:c r="I29" s="2"/>
      <x:c r="J29" s="2"/>
      <x:c r="K29" s="2"/>
      <x:c r="L29" s="2"/>
      <x:c r="M29" s="2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</x:row>
    <x:row r="30" ht="24" customHeight="1">
      <x:c r="A30" s="1"/>
      <x:c r="B30" s="1"/>
      <x:c r="C30" s="26" t="n">
        <x:v>20</x:v>
      </x:c>
      <x:c r="D30" s="15" t="n">
        <x:f>'单位经济'!$D$22-$C30*D$25</x:f>
        <x:v>-17000</x:v>
      </x:c>
      <x:c r="E30" s="15" t="n">
        <x:f>'单位经济'!$D$22-$C30*E$25</x:f>
        <x:v>-32000</x:v>
      </x:c>
      <x:c r="F30" s="15" t="n">
        <x:f>'单位经济'!$D$22-$C30*F$25</x:f>
        <x:v>-47000</x:v>
      </x:c>
      <x:c r="G30" s="15" t="n">
        <x:f>'单位经济'!$D$22-$C30*G$25</x:f>
        <x:v>-62000</x:v>
      </x:c>
      <x:c r="H30" s="2"/>
      <x:c r="I30" s="2"/>
      <x:c r="J30" s="2"/>
      <x:c r="K30" s="2"/>
      <x:c r="L30" s="2"/>
      <x:c r="M30" s="2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</x:row>
    <x:row r="31" ht="24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</x:row>
    <x:row r="32" ht="24" customHeight="1">
      <x:c r="A32" s="1"/>
      <x:c r="B32" s="1"/>
      <x:c r="C32" s="12" t="str">
        <x:v>上表：按单位经济示例活动量，扣独立品牌CAC后的月经营结果。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</x:row>
    <x:row r="33" ht="24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</x:row>
    <x:row r="34" ht="24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</x:row>
    <x:row r="35" ht="29" customHeight="1">
      <x:c r="A35" s="1"/>
      <x:c r="B35" s="1"/>
      <x:c r="C35" s="7" t="str">
        <x:v>全资金支付费率</x:v>
      </x:c>
      <x:c r="D35" s="8" t="str">
        <x:v>每场支付成本</x:v>
      </x:c>
      <x:c r="E35" s="8" t="str">
        <x:v>每场贡献</x:v>
      </x:c>
      <x:c r="F35" s="8" t="str">
        <x:v>20场毛利率</x:v>
      </x:c>
      <x:c r="G35" s="8" t="str">
        <x:v>20场经营（CAC前）</x:v>
      </x:c>
      <x:c r="H35" s="2"/>
      <x:c r="I35" s="2"/>
      <x:c r="J35" s="2"/>
      <x:c r="K35" s="2"/>
      <x:c r="L35" s="2"/>
      <x:c r="M35" s="2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</x:row>
    <x:row r="36" ht="24" customHeight="1">
      <x:c r="A36" s="1"/>
      <x:c r="B36" s="1"/>
      <x:c r="C36" s="11" t="n">
        <x:v>0</x:v>
      </x:c>
      <x:c r="D36" s="15" t="n">
        <x:f>'单位经济'!$D$7*C36+'假设'!$D$51</x:f>
        <x:v>0</x:v>
      </x:c>
      <x:c r="E36" s="15" t="n">
        <x:f>'单位经济'!$D$13+'假设'!$D$11-D36</x:f>
        <x:v>900</x:v>
      </x:c>
      <x:c r="F36" s="16" t="n">
        <x:f>('单位经济'!$D$18+('假设'!$D$11-D36)*'假设'!$D$24)/'单位经济'!$D$16</x:f>
        <x:v>0.6333333333333333</x:v>
      </x:c>
      <x:c r="G36" s="15" t="n">
        <x:f>'单位经济'!$D$22+('假设'!$D$11-D36)*'假设'!$D$24</x:f>
        <x:v>1000</x:v>
      </x:c>
      <x:c r="H36" s="2"/>
      <x:c r="I36" s="2"/>
      <x:c r="J36" s="2"/>
      <x:c r="K36" s="2"/>
      <x:c r="L36" s="2"/>
      <x:c r="M36" s="2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</x:row>
    <x:row r="37" ht="24" customHeight="1">
      <x:c r="A37" s="1"/>
      <x:c r="B37" s="1"/>
      <x:c r="C37" s="11" t="n">
        <x:v>0.02</x:v>
      </x:c>
      <x:c r="D37" s="15" t="n">
        <x:f>'单位经济'!$D$7*C37+'假设'!$D$51</x:f>
        <x:v>230</x:v>
      </x:c>
      <x:c r="E37" s="15" t="n">
        <x:f>'单位经济'!$D$13+'假设'!$D$11-D37</x:f>
        <x:v>670</x:v>
      </x:c>
      <x:c r="F37" s="16" t="n">
        <x:f>('单位经济'!$D$18+('假设'!$D$11-D37)*'假设'!$D$24)/'单位经济'!$D$16</x:f>
        <x:v>0.48</x:v>
      </x:c>
      <x:c r="G37" s="15" t="n">
        <x:f>'单位经济'!$D$22+('假设'!$D$11-D37)*'假设'!$D$24</x:f>
        <x:v>-3600</x:v>
      </x:c>
      <x:c r="H37" s="2"/>
      <x:c r="I37" s="2"/>
      <x:c r="J37" s="2"/>
      <x:c r="K37" s="2"/>
      <x:c r="L37" s="2"/>
      <x:c r="M37" s="2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</x:row>
    <x:row r="38" ht="24" customHeight="1">
      <x:c r="A38" s="1"/>
      <x:c r="B38" s="1"/>
      <x:c r="C38" s="11" t="n">
        <x:v>0.03</x:v>
      </x:c>
      <x:c r="D38" s="15" t="n">
        <x:f>'单位经济'!$D$7*C38+'假设'!$D$51</x:f>
        <x:v>345</x:v>
      </x:c>
      <x:c r="E38" s="15" t="n">
        <x:f>'单位经济'!$D$13+'假设'!$D$11-D38</x:f>
        <x:v>555</x:v>
      </x:c>
      <x:c r="F38" s="16" t="n">
        <x:f>('单位经济'!$D$18+('假设'!$D$11-D38)*'假设'!$D$24)/'单位经济'!$D$16</x:f>
        <x:v>0.4033333333333333</x:v>
      </x:c>
      <x:c r="G38" s="15" t="n">
        <x:f>'单位经济'!$D$22+('假设'!$D$11-D38)*'假设'!$D$24</x:f>
        <x:v>-5900</x:v>
      </x:c>
      <x:c r="H38" s="2"/>
      <x:c r="I38" s="2"/>
      <x:c r="J38" s="2"/>
      <x:c r="K38" s="2"/>
      <x:c r="L38" s="2"/>
      <x:c r="M38" s="2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</x:row>
    <x:row r="39" ht="24" customHeight="1">
      <x:c r="A39" s="1"/>
      <x:c r="B39" s="1"/>
      <x:c r="C39" s="11" t="n">
        <x:v>0.04</x:v>
      </x:c>
      <x:c r="D39" s="15" t="n">
        <x:f>'单位经济'!$D$7*C39+'假设'!$D$51</x:f>
        <x:v>460</x:v>
      </x:c>
      <x:c r="E39" s="15" t="n">
        <x:f>'单位经济'!$D$13+'假设'!$D$11-D39</x:f>
        <x:v>440</x:v>
      </x:c>
      <x:c r="F39" s="16" t="n">
        <x:f>('单位经济'!$D$18+('假设'!$D$11-D39)*'假设'!$D$24)/'单位经济'!$D$16</x:f>
        <x:v>0.32666666666666666</x:v>
      </x:c>
      <x:c r="G39" s="15" t="n">
        <x:f>'单位经济'!$D$22+('假设'!$D$11-D39)*'假设'!$D$24</x:f>
        <x:v>-8200</x:v>
      </x:c>
      <x:c r="H39" s="2"/>
      <x:c r="I39" s="2"/>
      <x:c r="J39" s="2"/>
      <x:c r="K39" s="2"/>
      <x:c r="L39" s="2"/>
      <x:c r="M39" s="2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</x:row>
    <x:row r="40" ht="24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</x:row>
    <x:row r="41" ht="24" customHeight="1">
      <x:c r="A41" s="1"/>
      <x:c r="B41" s="1"/>
      <x:c r="C41" s="12" t="str">
        <x:v>3%×RM11,500＝RM345；未加待报价出款固定费。改假设D49为1可重算所有公司回本。</x:v>
      </x:c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</x:row>
    <x:row r="42" ht="24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</x:row>
    <x:row r="43" ht="24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</x:row>
    <x:row r="44" ht="29" customHeight="1">
      <x:c r="A44" s="1"/>
      <x:c r="B44" s="1"/>
      <x:c r="C44" s="7" t="str">
        <x:v>全品牌资金费率情景</x:v>
      </x:c>
      <x:c r="D44" s="8" t="str">
        <x:v>保守</x:v>
      </x:c>
      <x:c r="E44" s="8" t="str">
        <x:v>基准</x:v>
      </x:c>
      <x:c r="F44" s="8" t="str">
        <x:v>扩张</x:v>
      </x:c>
      <x:c r="G44" s="2"/>
      <x:c r="H44" s="2"/>
      <x:c r="I44" s="2"/>
      <x:c r="J44" s="2"/>
      <x:c r="K44" s="2"/>
      <x:c r="L44" s="2"/>
      <x:c r="M44" s="2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</x:row>
    <x:row r="45" ht="24" customHeight="1">
      <x:c r="A45" s="1"/>
      <x:c r="B45" s="1"/>
      <x:c r="C45" s="1" t="str">
        <x:v>公司累计回本（月序）</x:v>
      </x:c>
      <x:c r="D45" s="15" t="str">
        <x:f>IF(MIN('保守现金流'!D42:AM42)=999,"36个月内未回本",MIN('保守现金流'!D42:AM42))</x:f>
        <x:v>36个月内未回本</x:v>
      </x:c>
      <x:c r="E45" s="15" t="n">
        <x:f>IF(MIN('基准现金流'!D42:AM42)=999,"36个月内未回本",MIN('基准现金流'!D42:AM42))</x:f>
        <x:v>31</x:v>
      </x:c>
      <x:c r="F45" s="15" t="n">
        <x:f>IF(MIN('扩张现金流'!D42:AM42)=999,"36个月内未回本",MIN('扩张现金流'!D42:AM42))</x:f>
        <x:v>21</x:v>
      </x:c>
      <x:c r="G45" s="2"/>
      <x:c r="H45" s="2"/>
      <x:c r="I45" s="2"/>
      <x:c r="J45" s="2"/>
      <x:c r="K45" s="2"/>
      <x:c r="L45" s="2"/>
      <x:c r="M45" s="2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</x:row>
    <x:row r="46" ht="24" customHeight="1">
      <x:c r="A46" s="1"/>
      <x:c r="B46" s="1"/>
      <x:c r="C46" s="1" t="str">
        <x:v>峰值资金缺口／RM</x:v>
      </x:c>
      <x:c r="D46" s="27" t="n">
        <x:f>MAX(0,-MIN('保守现金流'!D41:AM41))</x:f>
        <x:v>469245</x:v>
      </x:c>
      <x:c r="E46" s="27" t="n">
        <x:f>MAX(0,-MIN('基准现金流'!D41:AM41))</x:f>
        <x:v>352320</x:v>
      </x:c>
      <x:c r="F46" s="27" t="n">
        <x:f>MAX(0,-MIN('扩张现金流'!D41:AM41))</x:f>
        <x:v>322720</x:v>
      </x:c>
      <x:c r="G46" s="1"/>
      <x:c r="H46" s="1"/>
      <x:c r="I46" s="1"/>
      <x:c r="J46" s="1"/>
      <x:c r="K46" s="1"/>
      <x:c r="L46" s="1"/>
      <x:c r="M46" s="1"/>
    </x:row>
    <x:row r="47" ht="24" customHeight="1">
      <x:c r="A47" s="1"/>
      <x:c r="B47" s="1"/>
      <x:c r="C47" s="1" t="str">
        <x:v>36个月累计现金流／RM</x:v>
      </x:c>
      <x:c r="D47" s="27" t="n">
        <x:f>'保守现金流'!AM41</x:f>
        <x:v>-469245</x:v>
      </x:c>
      <x:c r="E47" s="27" t="n">
        <x:f>'基准现金流'!AM41</x:f>
        <x:v>187680</x:v>
      </x:c>
      <x:c r="F47" s="27" t="n">
        <x:f>'扩张现金流'!AM41</x:f>
        <x:v>1367085</x:v>
      </x:c>
      <x:c r="G47" s="1"/>
      <x:c r="H47" s="1"/>
      <x:c r="I47" s="1"/>
      <x:c r="J47" s="1"/>
      <x:c r="K47" s="1"/>
      <x:c r="L47" s="1"/>
      <x:c r="M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4" customHeight="1">
      <x:c r="A49" s="1"/>
      <x:c r="B49" s="1"/>
      <x:c r="C49" s="12" t="str">
        <x:v>此表使用假设中的全资金费率（默认3%），同其他成本及收款账期实时计算。</x:v>
      </x:c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</x:sheetData>
  <x:pageMargins left="0.7" right="0.7" top="0.75" bottom="0.75" header="0.3" footer="0.3"/>
</x:worksheet>
</file>