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总览" sheetId="1" state="visible" r:id="rId3"/>
    <sheet name="假设" sheetId="2" state="visible" r:id="rId4"/>
    <sheet name="单位经济" sheetId="3" state="visible" r:id="rId5"/>
    <sheet name="保守现金流" sheetId="4" state="visible" r:id="rId6"/>
    <sheet name="基准现金流" sheetId="5" state="visible" r:id="rId7"/>
    <sheet name="扩张现金流" sheetId="6" state="visible" r:id="rId8"/>
    <sheet name="品牌获客回收" sheetId="7" state="visible" r:id="rId9"/>
    <sheet name="敏感性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<sst xmlns="http://schemas.openxmlformats.org/spreadsheetml/2006/main" count="318" uniqueCount="231">
  <si>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｜总览</t>
    </r>
  </si>
  <si>
    <r>
      <rPr>
        <sz val="11"/>
        <color rgb="FF8A4D10"/>
        <rFont val="Linux Libertine G"/>
        <family val="2"/>
      </rPr>
      <t xml:space="preserve">情景草稿｜</t>
    </r>
    <r>
      <rPr>
        <sz val="11"/>
        <color rgb="FF8A4D10"/>
        <rFont val="Arial"/>
        <family val="0"/>
        <charset val="1"/>
      </rPr>
      <t xml:space="preserve">MYR</t>
    </r>
    <r>
      <rPr>
        <sz val="11"/>
        <color rgb="FF8A4D10"/>
        <rFont val="Linux Libertine G"/>
        <family val="2"/>
      </rPr>
      <t xml:space="preserve">｜新计量与反作弊开发未报价：零占位，非完整资金估计</t>
    </r>
  </si>
  <si>
    <t xml:space="preserve">核心结果</t>
  </si>
  <si>
    <t xml:space="preserve">保守</t>
  </si>
  <si>
    <t xml:space="preserve">基准</t>
  </si>
  <si>
    <t xml:space="preserve">扩张</t>
  </si>
  <si>
    <t xml:space="preserve">公司累计回本（月序）</t>
  </si>
  <si>
    <t xml:space="preserve">首次单月经营不亏（月序）</t>
  </si>
  <si>
    <r>
      <rPr>
        <sz val="11"/>
        <color rgb="FF172B3A"/>
        <rFont val="Linux Libertine G"/>
        <family val="2"/>
      </rPr>
      <t xml:space="preserve">最大累计资金缺口／</t>
    </r>
    <r>
      <rPr>
        <sz val="11"/>
        <color rgb="FF172B3A"/>
        <rFont val="Arial"/>
        <family val="0"/>
        <charset val="1"/>
      </rPr>
      <t xml:space="preserve">RM</t>
    </r>
  </si>
  <si>
    <r>
      <rPr>
        <sz val="11"/>
        <color rgb="FF172B3A"/>
        <rFont val="Arial"/>
        <family val="0"/>
        <charset val="1"/>
      </rPr>
      <t xml:space="preserve">36</t>
    </r>
    <r>
      <rPr>
        <sz val="11"/>
        <color rgb="FF172B3A"/>
        <rFont val="Linux Libertine G"/>
        <family val="2"/>
      </rPr>
      <t xml:space="preserve">个月累计现金流／</t>
    </r>
    <r>
      <rPr>
        <sz val="11"/>
        <color rgb="FF172B3A"/>
        <rFont val="Arial"/>
        <family val="0"/>
        <charset val="1"/>
      </rPr>
      <t xml:space="preserve">RM</t>
    </r>
  </si>
  <si>
    <r>
      <rPr>
        <sz val="11"/>
        <color rgb="FF172B3A"/>
        <rFont val="Arial"/>
        <family val="0"/>
        <charset val="1"/>
      </rPr>
      <t xml:space="preserve">36</t>
    </r>
    <r>
      <rPr>
        <sz val="11"/>
        <color rgb="FF172B3A"/>
        <rFont val="Linux Libertine G"/>
        <family val="2"/>
      </rPr>
      <t xml:space="preserve">个月服务收入／</t>
    </r>
    <r>
      <rPr>
        <sz val="11"/>
        <color rgb="FF172B3A"/>
        <rFont val="Arial"/>
        <family val="0"/>
        <charset val="1"/>
      </rPr>
      <t xml:space="preserve">RM</t>
    </r>
  </si>
  <si>
    <r>
      <rPr>
        <sz val="11"/>
        <color rgb="FF172B3A"/>
        <rFont val="Arial"/>
        <family val="0"/>
        <charset val="1"/>
      </rPr>
      <t xml:space="preserve">M36</t>
    </r>
    <r>
      <rPr>
        <sz val="11"/>
        <color rgb="FF172B3A"/>
        <rFont val="Linux Libertine G"/>
        <family val="2"/>
      </rPr>
      <t xml:space="preserve">每月活动数</t>
    </r>
  </si>
  <si>
    <r>
      <rPr>
        <sz val="11"/>
        <color rgb="FF172B3A"/>
        <rFont val="Arial"/>
        <family val="0"/>
        <charset val="1"/>
      </rPr>
      <t xml:space="preserve">M36</t>
    </r>
    <r>
      <rPr>
        <sz val="11"/>
        <color rgb="FF172B3A"/>
        <rFont val="Linux Libertine G"/>
        <family val="2"/>
      </rPr>
      <t xml:space="preserve">合格播放需求</t>
    </r>
  </si>
  <si>
    <r>
      <rPr>
        <sz val="11"/>
        <color rgb="FF172B3A"/>
        <rFont val="Arial"/>
        <family val="0"/>
        <charset val="1"/>
      </rPr>
      <t xml:space="preserve">36</t>
    </r>
    <r>
      <rPr>
        <sz val="11"/>
        <color rgb="FF172B3A"/>
        <rFont val="Linux Libertine G"/>
        <family val="2"/>
      </rPr>
      <t xml:space="preserve">个月新增品牌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／</t>
    </r>
    <r>
      <rPr>
        <sz val="11"/>
        <color rgb="FF172B3A"/>
        <rFont val="Arial"/>
        <family val="0"/>
        <charset val="1"/>
      </rPr>
      <t xml:space="preserve">RM</t>
    </r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</si>
  <si>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Linux Libertine G"/>
        <family val="2"/>
      </rPr>
      <t xml:space="preserve">场／月：费率与利润不同</t>
    </r>
  </si>
  <si>
    <t xml:space="preserve">数值</t>
  </si>
  <si>
    <t xml:space="preserve">服务费率</t>
  </si>
  <si>
    <t xml:space="preserve">平台收入／品牌支出</t>
  </si>
  <si>
    <t xml:space="preserve">毛利率（含固定履约）</t>
  </si>
  <si>
    <t xml:space="preserve">贡献率（含每场佣金）</t>
  </si>
  <si>
    <r>
      <rPr>
        <sz val="11"/>
        <color rgb="FF172B3A"/>
        <rFont val="Linux Libertine G"/>
        <family val="2"/>
      </rPr>
      <t xml:space="preserve">经营结果（新增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前）</t>
    </r>
  </si>
  <si>
    <r>
      <rPr>
        <sz val="11"/>
        <color rgb="FF172B3A"/>
        <rFont val="Linux Libertine G"/>
        <family val="2"/>
      </rPr>
      <t xml:space="preserve">盈亏平衡场数（新增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前）</t>
    </r>
  </si>
  <si>
    <r>
      <rPr>
        <sz val="11"/>
        <color rgb="FF172B3A"/>
        <rFont val="Linux Libertine G"/>
        <family val="2"/>
      </rPr>
      <t xml:space="preserve">品牌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简单回收（月）</t>
    </r>
  </si>
  <si>
    <r>
      <rPr>
        <sz val="11"/>
        <color rgb="FF8A4D10"/>
        <rFont val="Linux Libertine G"/>
        <family val="2"/>
      </rPr>
      <t xml:space="preserve">公司回本包含开发、运营、启动及独立品牌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；融资现金不算回本收入。</t>
    </r>
  </si>
  <si>
    <t xml:space="preserve">单月经营结果是折旧摊销前规划指标；税后净利润未知。</t>
  </si>
  <si>
    <t xml:space="preserve">月序</t>
  </si>
  <si>
    <t xml:space="preserve">保守累计现金</t>
  </si>
  <si>
    <t xml:space="preserve">基准累计现金</t>
  </si>
  <si>
    <t xml:space="preserve">扩张累计现金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</si>
  <si>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</si>
  <si>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</si>
  <si>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</si>
  <si>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</si>
  <si>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</si>
  <si>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</si>
  <si>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</si>
  <si>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</si>
  <si>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</si>
  <si>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</si>
  <si>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</si>
  <si>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</si>
  <si>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</si>
  <si>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</si>
  <si>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</si>
  <si>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</si>
  <si>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</si>
  <si>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</si>
  <si>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</si>
  <si>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</si>
  <si>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</si>
  <si>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</si>
  <si>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</si>
  <si>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</si>
  <si>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</si>
  <si>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</si>
  <si>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</si>
  <si>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</si>
  <si>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</si>
  <si>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</si>
  <si>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</si>
  <si>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</si>
  <si>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</si>
  <si>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</si>
  <si>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</si>
  <si>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</si>
  <si>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｜假设</t>
    </r>
  </si>
  <si>
    <t xml:space="preserve">共同输入</t>
  </si>
  <si>
    <t xml:space="preserve">说明</t>
  </si>
  <si>
    <t xml:space="preserve">每场已确认奖励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</si>
  <si>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；旧商业算例，非客户订单</t>
    </r>
  </si>
  <si>
    <t xml:space="preserve">奖励外加服务费率</t>
  </si>
  <si>
    <t xml:space="preserve">旧商业算例，非已批准定价</t>
  </si>
  <si>
    <t xml:space="preserve">每千次合格播放奖励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</si>
  <si>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；旧商业算例</t>
    </r>
  </si>
  <si>
    <t xml:space="preserve">审核与支持／场</t>
  </si>
  <si>
    <r>
      <rPr>
        <sz val="11"/>
        <color rgb="FF172B3A"/>
        <rFont val="Linux Libertine G"/>
        <family val="2"/>
      </rPr>
      <t xml:space="preserve">全量提交</t>
    </r>
    <r>
      <rPr>
        <sz val="11"/>
        <color rgb="FF172B3A"/>
        <rFont val="Arial"/>
        <family val="0"/>
        <charset val="1"/>
      </rPr>
      <t xml:space="preserve">×</t>
    </r>
    <r>
      <rPr>
        <sz val="11"/>
        <color rgb="FF172B3A"/>
        <rFont val="Linux Libertine G"/>
        <family val="2"/>
      </rPr>
      <t xml:space="preserve">含申诉平均分钟</t>
    </r>
    <r>
      <rPr>
        <sz val="11"/>
        <color rgb="FF172B3A"/>
        <rFont val="Arial"/>
        <family val="0"/>
        <charset val="1"/>
      </rPr>
      <t xml:space="preserve">÷60×</t>
    </r>
    <r>
      <rPr>
        <sz val="11"/>
        <color rgb="FF172B3A"/>
        <rFont val="Linux Libertine G"/>
        <family val="2"/>
      </rPr>
      <t xml:space="preserve">时薪；不得再重复加申诉成本</t>
    </r>
  </si>
  <si>
    <t xml:space="preserve">计量与数据／场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</si>
  <si>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；估计，非报价</t>
    </r>
  </si>
  <si>
    <t xml:space="preserve">支付／场</t>
  </si>
  <si>
    <r>
      <rPr>
        <sz val="11"/>
        <color rgb="FF172B3A"/>
        <rFont val="Arial"/>
        <family val="0"/>
        <charset val="1"/>
      </rPr>
      <t xml:space="preserve">150</t>
    </r>
    <r>
      <rPr>
        <sz val="11"/>
        <color rgb="FF172B3A"/>
        <rFont val="Linux Libertine G"/>
        <family val="2"/>
      </rPr>
      <t xml:space="preserve">为历史估计占位；模式</t>
    </r>
    <r>
      <rPr>
        <sz val="11"/>
        <color rgb="FF172B3A"/>
        <rFont val="Arial"/>
        <family val="0"/>
        <charset val="1"/>
      </rPr>
      <t xml:space="preserve">1</t>
    </r>
    <r>
      <rPr>
        <sz val="11"/>
        <color rgb="FF172B3A"/>
        <rFont val="Linux Libertine G"/>
        <family val="2"/>
      </rPr>
      <t xml:space="preserve">按全品牌资金计费，非仅服务费</t>
    </r>
  </si>
  <si>
    <t xml:space="preserve">异常损失／场</t>
  </si>
  <si>
    <t xml:space="preserve">活动获取／转介佣金／场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</si>
  <si>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；新增假设，每单发生；不属于品牌</t>
    </r>
    <r>
      <rPr>
        <sz val="11"/>
        <color rgb="FF172B3A"/>
        <rFont val="Arial"/>
        <family val="0"/>
        <charset val="1"/>
      </rPr>
      <t xml:space="preserve">CAC</t>
    </r>
  </si>
  <si>
    <t xml:space="preserve">固定履约／月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</si>
  <si>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；计入销售成本，也是固定</t>
    </r>
    <r>
      <rPr>
        <sz val="11"/>
        <color rgb="FF172B3A"/>
        <rFont val="Arial"/>
        <family val="0"/>
        <charset val="1"/>
      </rPr>
      <t xml:space="preserve">17000</t>
    </r>
    <r>
      <rPr>
        <sz val="11"/>
        <color rgb="FF172B3A"/>
        <rFont val="Linux Libertine G"/>
        <family val="2"/>
      </rPr>
      <t xml:space="preserve">的一部分</t>
    </r>
  </si>
  <si>
    <t xml:space="preserve">固定非履约运营／月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</si>
  <si>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；不再另扣</t>
    </r>
    <r>
      <rPr>
        <sz val="11"/>
        <color rgb="FF172B3A"/>
        <rFont val="Arial"/>
        <family val="0"/>
        <charset val="1"/>
      </rPr>
      <t xml:space="preserve">2000</t>
    </r>
    <r>
      <rPr>
        <sz val="11"/>
        <color rgb="FF172B3A"/>
        <rFont val="Linux Libertine G"/>
        <family val="2"/>
      </rPr>
      <t xml:space="preserve">；原</t>
    </r>
    <r>
      <rPr>
        <sz val="11"/>
        <color rgb="FF172B3A"/>
        <rFont val="Arial"/>
        <family val="0"/>
        <charset val="1"/>
      </rPr>
      <t xml:space="preserve">12000+5000</t>
    </r>
    <r>
      <rPr>
        <sz val="11"/>
        <color rgb="FF172B3A"/>
        <rFont val="Linux Libertine G"/>
        <family val="2"/>
      </rPr>
      <t xml:space="preserve">重分类</t>
    </r>
  </si>
  <si>
    <t xml:space="preserve">历史开发预算锚点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</si>
  <si>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；已含开发预备金，非新范围报价</t>
    </r>
  </si>
  <si>
    <t xml:space="preserve">新增计量与反作弊开发</t>
  </si>
  <si>
    <t xml:space="preserve">未报价！零仅占位，资金需求是情景下限</t>
  </si>
  <si>
    <t xml:space="preserve">建设期运营／月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</si>
  <si>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；历史预算假设</t>
    </r>
  </si>
  <si>
    <t xml:space="preserve">一次性启动池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</si>
  <si>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</t>
    </r>
    <r>
      <rPr>
        <sz val="11"/>
        <color rgb="FF172B3A"/>
        <rFont val="Arial"/>
        <family val="0"/>
        <charset val="1"/>
      </rPr>
      <t xml:space="preserve">M5</t>
    </r>
    <r>
      <rPr>
        <sz val="11"/>
        <color rgb="FF172B3A"/>
        <rFont val="Linux Libertine G"/>
        <family val="2"/>
      </rPr>
      <t xml:space="preserve">首批品牌获客、试点及专业服务；不重复计</t>
    </r>
    <r>
      <rPr>
        <sz val="11"/>
        <color rgb="FF172B3A"/>
        <rFont val="Arial"/>
        <family val="0"/>
        <charset val="1"/>
      </rPr>
      <t xml:space="preserve">CAC</t>
    </r>
  </si>
  <si>
    <t xml:space="preserve">独立销售品牌获客费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</si>
  <si>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／新增品牌；</t>
    </r>
    <r>
      <rPr>
        <sz val="11"/>
        <color rgb="FF172B3A"/>
        <rFont val="Arial"/>
        <family val="0"/>
        <charset val="1"/>
      </rPr>
      <t xml:space="preserve">M6</t>
    </r>
    <r>
      <rPr>
        <sz val="11"/>
        <color rgb="FF172B3A"/>
        <rFont val="Linux Libertine G"/>
        <family val="2"/>
      </rPr>
      <t xml:space="preserve">起；不含每单佣金及固定销售工资</t>
    </r>
  </si>
  <si>
    <t xml:space="preserve">每活跃品牌每月活动</t>
  </si>
  <si>
    <t xml:space="preserve">说明假设；当月新品牌也完成全部活动</t>
  </si>
  <si>
    <t xml:space="preserve">月品牌流失率</t>
  </si>
  <si>
    <t xml:space="preserve">说明假设；连续近似品牌数，不作人数承诺</t>
  </si>
  <si>
    <t xml:space="preserve">期初可用公司现金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</si>
  <si>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；创始人投入未知；只影响余额，不影响回本</t>
    </r>
  </si>
  <si>
    <t xml:space="preserve">单位经济示例活动／月</t>
  </si>
  <si>
    <r>
      <rPr>
        <sz val="11"/>
        <color rgb="FF172B3A"/>
        <rFont val="Linux Libertine G"/>
        <family val="2"/>
      </rPr>
      <t xml:space="preserve">说明情景；未含新增品牌</t>
    </r>
    <r>
      <rPr>
        <sz val="11"/>
        <color rgb="FF172B3A"/>
        <rFont val="Arial"/>
        <family val="0"/>
        <charset val="1"/>
      </rPr>
      <t xml:space="preserve">CAC</t>
    </r>
  </si>
  <si>
    <t xml:space="preserve">建设月数</t>
  </si>
  <si>
    <r>
      <rPr>
        <sz val="11"/>
        <color rgb="FF172B3A"/>
        <rFont val="Arial"/>
        <family val="0"/>
        <charset val="1"/>
      </rPr>
      <t xml:space="preserve">M1–M4</t>
    </r>
    <r>
      <rPr>
        <sz val="11"/>
        <color rgb="FF172B3A"/>
        <rFont val="Linux Libertine G"/>
        <family val="2"/>
      </rPr>
      <t xml:space="preserve">等额付开发费；非已签付款安排</t>
    </r>
  </si>
  <si>
    <t xml:space="preserve">蓝字浅黄＝可编辑输入；绿字＝跨表公式；月序为相对月份，无虚构开工日。</t>
  </si>
  <si>
    <r>
      <rPr>
        <sz val="11"/>
        <color rgb="FF8A4D10"/>
        <rFont val="Linux Libertine G"/>
        <family val="2"/>
      </rPr>
      <t xml:space="preserve">三情景并列计算，按要求各保留</t>
    </r>
    <r>
      <rPr>
        <sz val="11"/>
        <color rgb="FF8A4D10"/>
        <rFont val="Arial"/>
        <family val="0"/>
        <charset val="1"/>
      </rPr>
      <t xml:space="preserve">36</t>
    </r>
    <r>
      <rPr>
        <sz val="11"/>
        <color rgb="FF8A4D10"/>
        <rFont val="Linux Libertine G"/>
        <family val="2"/>
      </rPr>
      <t xml:space="preserve">个月明细；修改此处即自动更新相应情景。</t>
    </r>
  </si>
  <si>
    <t xml:space="preserve">保守｜活动数（说明输入）</t>
  </si>
  <si>
    <t xml:space="preserve">基准｜活动数（说明输入）</t>
  </si>
  <si>
    <t xml:space="preserve">扩张｜活动数（说明输入）</t>
  </si>
  <si>
    <r>
      <rPr>
        <sz val="11"/>
        <color rgb="FF8A4D10"/>
        <rFont val="Linux Libertine G"/>
        <family val="2"/>
      </rPr>
      <t xml:space="preserve">来源：</t>
    </r>
    <r>
      <rPr>
        <sz val="11"/>
        <color rgb="FF8A4D10"/>
        <rFont val="Arial"/>
        <family val="0"/>
        <charset val="1"/>
      </rPr>
      <t xml:space="preserve">phase-0/foundation/business-model-v2.md</t>
    </r>
    <r>
      <rPr>
        <sz val="11"/>
        <color rgb="FF8A4D10"/>
        <rFont val="Linux Libertine G"/>
        <family val="2"/>
      </rPr>
      <t xml:space="preserve">；</t>
    </r>
    <r>
      <rPr>
        <sz val="11"/>
        <color rgb="FF8A4D10"/>
        <rFont val="Arial"/>
        <family val="0"/>
        <charset val="1"/>
      </rPr>
      <t xml:space="preserve">belcort-handoff-v1.md</t>
    </r>
    <r>
      <rPr>
        <sz val="11"/>
        <color rgb="FF8A4D10"/>
        <rFont val="Linux Libertine G"/>
        <family val="2"/>
      </rPr>
      <t xml:space="preserve">（</t>
    </r>
    <r>
      <rPr>
        <sz val="11"/>
        <color rgb="FF8A4D10"/>
        <rFont val="Arial"/>
        <family val="0"/>
        <charset val="1"/>
      </rPr>
      <t xml:space="preserve">2026-09-10</t>
    </r>
    <r>
      <rPr>
        <sz val="11"/>
        <color rgb="FF8A4D10"/>
        <rFont val="Linux Libertine G"/>
        <family val="2"/>
      </rPr>
      <t xml:space="preserve">）</t>
    </r>
  </si>
  <si>
    <r>
      <rPr>
        <sz val="11"/>
        <color rgb="FF8A4D10"/>
        <rFont val="Linux Libertine G"/>
        <family val="2"/>
      </rPr>
      <t xml:space="preserve">新增</t>
    </r>
    <r>
      <rPr>
        <sz val="11"/>
        <color rgb="FF8A4D10"/>
        <rFont val="Arial"/>
        <family val="0"/>
        <charset val="1"/>
      </rPr>
      <t xml:space="preserve">150</t>
    </r>
    <r>
      <rPr>
        <sz val="11"/>
        <color rgb="FF8A4D10"/>
        <rFont val="Linux Libertine G"/>
        <family val="2"/>
      </rPr>
      <t xml:space="preserve">佣金、</t>
    </r>
    <r>
      <rPr>
        <sz val="11"/>
        <color rgb="FF8A4D10"/>
        <rFont val="Arial"/>
        <family val="0"/>
        <charset val="1"/>
      </rPr>
      <t xml:space="preserve">600</t>
    </r>
    <r>
      <rPr>
        <sz val="11"/>
        <color rgb="FF8A4D10"/>
        <rFont val="Linux Libertine G"/>
        <family val="2"/>
      </rPr>
      <t xml:space="preserve">拆分、固定费用重分类及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路径：本轮授权情景假设，均非供应商报价。</t>
    </r>
  </si>
  <si>
    <t xml:space="preserve">会计口径：暂按代理规划假设，奖励代转款不计平台收入与成本；实际总额／净额待合同判断。</t>
  </si>
  <si>
    <t xml:space="preserve">https://www.ifrs.org/news-and-events/updates/ifric/2022/ifric-update-april-2022/</t>
  </si>
  <si>
    <t xml:space="preserve">https://openstax.org/books/principles-managerial-accounting/pages/3-1-explain-contribution-margin-and-calculate-contribution-margin-per-unit-contribution-margin-ratio-and-total-contribution-margin</t>
  </si>
  <si>
    <t xml:space="preserve">不主张托管或支付许可已具备。费用均未报价；税、利息、收付款账期及折旧政策未建模。</t>
  </si>
  <si>
    <t xml:space="preserve">审核、支付与收款驱动</t>
  </si>
  <si>
    <t xml:space="preserve">全量审核提交／场</t>
  </si>
  <si>
    <t xml:space="preserve">包括通过与拒绝的所有提交；不是仅已付款提交</t>
  </si>
  <si>
    <t xml:space="preserve">平台平均审核分钟／提交</t>
  </si>
  <si>
    <t xml:space="preserve">含异常及申诉的加权平均；假设，非效率基准；不含品牌自己审核</t>
  </si>
  <si>
    <t xml:space="preserve">平台审核时薪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</si>
  <si>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／小时；假设，非报价</t>
    </r>
  </si>
  <si>
    <t xml:space="preserve">支付费模式</t>
  </si>
  <si>
    <r>
      <rPr>
        <sz val="11"/>
        <color rgb="FF172B3A"/>
        <rFont val="Arial"/>
        <family val="0"/>
        <charset val="1"/>
      </rPr>
      <t xml:space="preserve">0</t>
    </r>
    <r>
      <rPr>
        <sz val="11"/>
        <color rgb="FF172B3A"/>
        <rFont val="Linux Libertine G"/>
        <family val="2"/>
      </rPr>
      <t xml:space="preserve">＝原</t>
    </r>
    <r>
      <rPr>
        <sz val="11"/>
        <color rgb="FF172B3A"/>
        <rFont val="Arial"/>
        <family val="0"/>
        <charset val="1"/>
      </rPr>
      <t xml:space="preserve">150</t>
    </r>
    <r>
      <rPr>
        <sz val="11"/>
        <color rgb="FF172B3A"/>
        <rFont val="Linux Libertine G"/>
        <family val="2"/>
      </rPr>
      <t xml:space="preserve">占位；</t>
    </r>
    <r>
      <rPr>
        <sz val="11"/>
        <color rgb="FF172B3A"/>
        <rFont val="Arial"/>
        <family val="0"/>
        <charset val="1"/>
      </rPr>
      <t xml:space="preserve">1</t>
    </r>
    <r>
      <rPr>
        <sz val="11"/>
        <color rgb="FF172B3A"/>
        <rFont val="Linux Libertine G"/>
        <family val="2"/>
      </rPr>
      <t xml:space="preserve">＝全品牌资金</t>
    </r>
    <r>
      <rPr>
        <sz val="11"/>
        <color rgb="FF172B3A"/>
        <rFont val="Arial"/>
        <family val="0"/>
        <charset val="1"/>
      </rPr>
      <t xml:space="preserve">×</t>
    </r>
    <r>
      <rPr>
        <sz val="11"/>
        <color rgb="FF172B3A"/>
        <rFont val="Linux Libertine G"/>
        <family val="2"/>
      </rPr>
      <t xml:space="preserve">费率＋每场固定费</t>
    </r>
  </si>
  <si>
    <t xml:space="preserve">全品牌资金支付费率</t>
  </si>
  <si>
    <r>
      <rPr>
        <sz val="11"/>
        <color rgb="FF172B3A"/>
        <rFont val="Arial"/>
        <family val="0"/>
        <charset val="1"/>
      </rPr>
      <t xml:space="preserve">3%</t>
    </r>
    <r>
      <rPr>
        <sz val="11"/>
        <color rgb="FF172B3A"/>
        <rFont val="Linux Libertine G"/>
        <family val="2"/>
      </rPr>
      <t xml:space="preserve">仅敏感性假设，非</t>
    </r>
    <r>
      <rPr>
        <sz val="11"/>
        <color rgb="FF172B3A"/>
        <rFont val="Arial"/>
        <family val="0"/>
        <charset val="1"/>
      </rPr>
      <t xml:space="preserve">Whop</t>
    </r>
    <r>
      <rPr>
        <sz val="11"/>
        <color rgb="FF172B3A"/>
        <rFont val="Linux Libertine G"/>
        <family val="2"/>
      </rPr>
      <t xml:space="preserve">或市场报价</t>
    </r>
  </si>
  <si>
    <t xml:space="preserve">额外每场支付固定费</t>
  </si>
  <si>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；出款与固定费待报价，零仅占位</t>
    </r>
  </si>
  <si>
    <t xml:space="preserve">服务费收款延迟（月）</t>
  </si>
  <si>
    <r>
      <rPr>
        <sz val="11"/>
        <color rgb="FF172B3A"/>
        <rFont val="Arial"/>
        <family val="0"/>
        <charset val="1"/>
      </rPr>
      <t xml:space="preserve">0</t>
    </r>
    <r>
      <rPr>
        <sz val="11"/>
        <color rgb="FF172B3A"/>
        <rFont val="Linux Libertine G"/>
        <family val="2"/>
      </rPr>
      <t xml:space="preserve">或</t>
    </r>
    <r>
      <rPr>
        <sz val="11"/>
        <color rgb="FF172B3A"/>
        <rFont val="Arial"/>
        <family val="0"/>
        <charset val="1"/>
      </rPr>
      <t xml:space="preserve">1</t>
    </r>
    <r>
      <rPr>
        <sz val="11"/>
        <color rgb="FF172B3A"/>
        <rFont val="Linux Libertine G"/>
        <family val="2"/>
      </rPr>
      <t xml:space="preserve">；基准同月收款是假设；非外部平台账期</t>
    </r>
  </si>
  <si>
    <t xml:space="preserve">原支付占位／场</t>
  </si>
  <si>
    <r>
      <rPr>
        <sz val="11"/>
        <color rgb="FF172B3A"/>
        <rFont val="Linux Libertine G"/>
        <family val="2"/>
      </rPr>
      <t xml:space="preserve">可编辑；非市场报价；模式</t>
    </r>
    <r>
      <rPr>
        <sz val="11"/>
        <color rgb="FF172B3A"/>
        <rFont val="Arial"/>
        <family val="0"/>
        <charset val="1"/>
      </rPr>
      <t xml:space="preserve">0</t>
    </r>
    <r>
      <rPr>
        <sz val="11"/>
        <color rgb="FF172B3A"/>
        <rFont val="Linux Libertine G"/>
        <family val="2"/>
      </rPr>
      <t xml:space="preserve">采用</t>
    </r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</si>
  <si>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｜单位经济</t>
    </r>
  </si>
  <si>
    <r>
      <rPr>
        <b val="true"/>
        <sz val="11"/>
        <color rgb="FFFFFFFF"/>
        <rFont val="Linux Libertine G"/>
        <family val="2"/>
      </rPr>
      <t xml:space="preserve">每场经济与</t>
    </r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Linux Libertine G"/>
        <family val="2"/>
      </rPr>
      <t xml:space="preserve">场示例</t>
    </r>
  </si>
  <si>
    <t xml:space="preserve">服务收入</t>
  </si>
  <si>
    <t xml:space="preserve">品牌总支出</t>
  </si>
  <si>
    <t xml:space="preserve">服务收入／品牌支出</t>
  </si>
  <si>
    <t xml:space="preserve">所需合格播放／场</t>
  </si>
  <si>
    <t xml:space="preserve">可变履约成本／场</t>
  </si>
  <si>
    <t xml:space="preserve">活动获取佣金／场</t>
  </si>
  <si>
    <t xml:space="preserve">贡献／场</t>
  </si>
  <si>
    <t xml:space="preserve">贡献率</t>
  </si>
  <si>
    <t xml:space="preserve">月活动量</t>
  </si>
  <si>
    <t xml:space="preserve">月收入</t>
  </si>
  <si>
    <t xml:space="preserve">月销售成本（含固定履约）</t>
  </si>
  <si>
    <t xml:space="preserve">毛利</t>
  </si>
  <si>
    <t xml:space="preserve">毛利率</t>
  </si>
  <si>
    <t xml:space="preserve">月贡献</t>
  </si>
  <si>
    <t xml:space="preserve">全部固定支出</t>
  </si>
  <si>
    <r>
      <rPr>
        <sz val="11"/>
        <color rgb="FF172B3A"/>
        <rFont val="Linux Libertine G"/>
        <family val="2"/>
      </rPr>
      <t xml:space="preserve">经营结果（新增品牌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前）</t>
    </r>
  </si>
  <si>
    <r>
      <rPr>
        <sz val="11"/>
        <color rgb="FF172B3A"/>
        <rFont val="Linux Libertine G"/>
        <family val="2"/>
      </rPr>
      <t xml:space="preserve">经营利润率（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前）</t>
    </r>
  </si>
  <si>
    <r>
      <rPr>
        <sz val="11"/>
        <color rgb="FF172B3A"/>
        <rFont val="Linux Libertine G"/>
        <family val="2"/>
      </rPr>
      <t xml:space="preserve">盈亏平衡活动数（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前）</t>
    </r>
  </si>
  <si>
    <t xml:space="preserve">税后净利润</t>
  </si>
  <si>
    <t xml:space="preserve">未知：税、利息、折旧政策未齐</t>
  </si>
  <si>
    <r>
      <rPr>
        <sz val="11"/>
        <color rgb="FF8A4D10"/>
        <rFont val="Linux Libertine G"/>
        <family val="2"/>
      </rPr>
      <t xml:space="preserve">毛利扣可变及固定履约；贡献扣全部每场可变成本；固定</t>
    </r>
    <r>
      <rPr>
        <sz val="11"/>
        <color rgb="FF8A4D10"/>
        <rFont val="Arial"/>
        <family val="0"/>
        <charset val="1"/>
      </rPr>
      <t xml:space="preserve">2000</t>
    </r>
    <r>
      <rPr>
        <sz val="11"/>
        <color rgb="FF8A4D10"/>
        <rFont val="Linux Libertine G"/>
        <family val="2"/>
      </rPr>
      <t xml:space="preserve">不重复扣除。</t>
    </r>
  </si>
  <si>
    <r>
      <rPr>
        <sz val="11"/>
        <color rgb="FF8A4D10"/>
        <rFont val="Arial"/>
        <family val="0"/>
        <charset val="1"/>
      </rPr>
      <t xml:space="preserve">20</t>
    </r>
    <r>
      <rPr>
        <sz val="11"/>
        <color rgb="FF8A4D10"/>
        <rFont val="Linux Libertine G"/>
        <family val="2"/>
      </rPr>
      <t xml:space="preserve">场：经营亏损</t>
    </r>
    <r>
      <rPr>
        <sz val="11"/>
        <color rgb="FF8A4D10"/>
        <rFont val="Arial"/>
        <family val="0"/>
        <charset val="1"/>
      </rPr>
      <t xml:space="preserve">RM2,000</t>
    </r>
    <r>
      <rPr>
        <sz val="11"/>
        <color rgb="FF8A4D10"/>
        <rFont val="Linux Libertine G"/>
        <family val="2"/>
      </rPr>
      <t xml:space="preserve">，尚未扣新增品牌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；净利润未知。</t>
    </r>
  </si>
  <si>
    <r>
      <rPr>
        <sz val="11"/>
        <color rgb="FF8A4D10"/>
        <rFont val="Arial"/>
        <family val="0"/>
        <charset val="1"/>
      </rPr>
      <t xml:space="preserve">15%</t>
    </r>
    <r>
      <rPr>
        <sz val="11"/>
        <color rgb="FF8A4D10"/>
        <rFont val="Linux Libertine G"/>
        <family val="2"/>
      </rPr>
      <t xml:space="preserve">服务费 ≠ </t>
    </r>
    <r>
      <rPr>
        <sz val="11"/>
        <color rgb="FF8A4D10"/>
        <rFont val="Arial"/>
        <family val="0"/>
        <charset val="1"/>
      </rPr>
      <t xml:space="preserve">13.04%</t>
    </r>
    <r>
      <rPr>
        <sz val="11"/>
        <color rgb="FF8A4D10"/>
        <rFont val="Linux Libertine G"/>
        <family val="2"/>
      </rPr>
      <t xml:space="preserve">品牌支出占比 ≠ </t>
    </r>
    <r>
      <rPr>
        <sz val="11"/>
        <color rgb="FF8A4D10"/>
        <rFont val="Arial"/>
        <family val="0"/>
        <charset val="1"/>
      </rPr>
      <t xml:space="preserve">53.33%</t>
    </r>
    <r>
      <rPr>
        <sz val="11"/>
        <color rgb="FF8A4D10"/>
        <rFont val="Linux Libertine G"/>
        <family val="2"/>
      </rPr>
      <t xml:space="preserve">毛利率（</t>
    </r>
    <r>
      <rPr>
        <sz val="11"/>
        <color rgb="FF8A4D10"/>
        <rFont val="Arial"/>
        <family val="0"/>
        <charset val="1"/>
      </rPr>
      <t xml:space="preserve">20</t>
    </r>
    <r>
      <rPr>
        <sz val="11"/>
        <color rgb="FF8A4D10"/>
        <rFont val="Linux Libertine G"/>
        <family val="2"/>
      </rPr>
      <t xml:space="preserve">场）。</t>
    </r>
  </si>
  <si>
    <t xml:space="preserve">毛利率以平台净服务费收入为分母；代理／主要责任人及实际收入确认仍待合同判断。</t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</si>
  <si>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｜保守现金流</t>
    </r>
  </si>
  <si>
    <r>
      <rPr>
        <sz val="11"/>
        <color rgb="FF172B3A"/>
        <rFont val="Linux Libertine G"/>
        <family val="2"/>
      </rPr>
      <t xml:space="preserve">保守｜全部为说明情景；</t>
    </r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，</t>
    </r>
    <r>
      <rPr>
        <sz val="11"/>
        <color rgb="FF172B3A"/>
        <rFont val="Arial"/>
        <family val="0"/>
        <charset val="1"/>
      </rPr>
      <t xml:space="preserve">M1–M36</t>
    </r>
  </si>
  <si>
    <t xml:space="preserve">活动数</t>
  </si>
  <si>
    <t xml:space="preserve">活跃付费品牌（近似）</t>
  </si>
  <si>
    <t xml:space="preserve">留存品牌</t>
  </si>
  <si>
    <t xml:space="preserve">新增／替补品牌</t>
  </si>
  <si>
    <r>
      <rPr>
        <sz val="11"/>
        <color rgb="FF172B3A"/>
        <rFont val="Linux Libertine G"/>
        <family val="2"/>
      </rPr>
      <t xml:space="preserve">独立品牌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现金支出</t>
    </r>
  </si>
  <si>
    <t xml:space="preserve">合格播放需求</t>
  </si>
  <si>
    <t xml:space="preserve">创作者奖励代转（非收入）</t>
  </si>
  <si>
    <t xml:space="preserve">品牌总支出（未税）</t>
  </si>
  <si>
    <t xml:space="preserve">平台服务收入</t>
  </si>
  <si>
    <t xml:space="preserve">可变履约成本</t>
  </si>
  <si>
    <t xml:space="preserve">固定履约成本</t>
  </si>
  <si>
    <t xml:space="preserve">销售成本合计</t>
  </si>
  <si>
    <t xml:space="preserve">活动获取佣金</t>
  </si>
  <si>
    <r>
      <rPr>
        <sz val="11"/>
        <color rgb="FF172B3A"/>
        <rFont val="Linux Libertine G"/>
        <family val="2"/>
      </rPr>
      <t xml:space="preserve">贡献（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前）</t>
    </r>
  </si>
  <si>
    <t xml:space="preserve">固定非履约支出</t>
  </si>
  <si>
    <t xml:space="preserve">建设期运营支出</t>
  </si>
  <si>
    <r>
      <rPr>
        <sz val="11"/>
        <color rgb="FF172B3A"/>
        <rFont val="Linux Libertine G"/>
        <family val="2"/>
      </rPr>
      <t xml:space="preserve">经营结果（含品牌</t>
    </r>
    <r>
      <rPr>
        <sz val="11"/>
        <color rgb="FF172B3A"/>
        <rFont val="Arial"/>
        <family val="0"/>
        <charset val="1"/>
      </rPr>
      <t xml:space="preserve">CAC</t>
    </r>
    <r>
      <rPr>
        <sz val="11"/>
        <color rgb="FF172B3A"/>
        <rFont val="Linux Libertine G"/>
        <family val="2"/>
      </rPr>
      <t xml:space="preserve">）</t>
    </r>
  </si>
  <si>
    <t xml:space="preserve">经营利润率</t>
  </si>
  <si>
    <t xml:space="preserve">开发现金支付</t>
  </si>
  <si>
    <t xml:space="preserve">一次性启动现金支出</t>
  </si>
  <si>
    <t xml:space="preserve">融资前税前现金流</t>
  </si>
  <si>
    <t xml:space="preserve">累计公司现金流</t>
  </si>
  <si>
    <t xml:space="preserve">含期初现金的余额</t>
  </si>
  <si>
    <t xml:space="preserve">累计回本月标记</t>
  </si>
  <si>
    <t xml:space="preserve">单月经营不亏标记</t>
  </si>
  <si>
    <t xml:space="preserve">当月服务费现金收款</t>
  </si>
  <si>
    <t xml:space="preserve">期末服务费应收款</t>
  </si>
  <si>
    <r>
      <rPr>
        <sz val="11"/>
        <color rgb="FF8A4D10"/>
        <rFont val="Arial"/>
        <family val="0"/>
        <charset val="1"/>
      </rPr>
      <t xml:space="preserve">M5</t>
    </r>
    <r>
      <rPr>
        <sz val="11"/>
        <color rgb="FF8A4D10"/>
        <rFont val="Linux Libertine G"/>
        <family val="2"/>
      </rPr>
      <t xml:space="preserve">首批获客已计入启动池；</t>
    </r>
    <r>
      <rPr>
        <sz val="11"/>
        <color rgb="FF8A4D10"/>
        <rFont val="Arial"/>
        <family val="0"/>
        <charset val="1"/>
      </rPr>
      <t xml:space="preserve">M6</t>
    </r>
    <r>
      <rPr>
        <sz val="11"/>
        <color rgb="FF8A4D10"/>
        <rFont val="Linux Libertine G"/>
        <family val="2"/>
      </rPr>
      <t xml:space="preserve">起新增</t>
    </r>
    <r>
      <rPr>
        <sz val="11"/>
        <color rgb="FF8A4D10"/>
        <rFont val="Arial"/>
        <family val="0"/>
        <charset val="1"/>
      </rPr>
      <t xml:space="preserve">/</t>
    </r>
    <r>
      <rPr>
        <sz val="11"/>
        <color rgb="FF8A4D10"/>
        <rFont val="Linux Libertine G"/>
        <family val="2"/>
      </rPr>
      <t xml:space="preserve">替补品牌另付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。当月获得品牌当月即完成全部活动。</t>
    </r>
  </si>
  <si>
    <r>
      <rPr>
        <sz val="11"/>
        <color rgb="FF8A4D10"/>
        <rFont val="Linux Libertine G"/>
        <family val="2"/>
      </rPr>
      <t xml:space="preserve">现金流已含</t>
    </r>
    <r>
      <rPr>
        <sz val="11"/>
        <color rgb="FF8A4D10"/>
        <rFont val="Arial"/>
        <family val="0"/>
        <charset val="1"/>
      </rPr>
      <t xml:space="preserve">0/1</t>
    </r>
    <r>
      <rPr>
        <sz val="11"/>
        <color rgb="FF8A4D10"/>
        <rFont val="Linux Libertine G"/>
        <family val="2"/>
      </rPr>
      <t xml:space="preserve">月服务费收款延迟；未计税、利息及其余营运资金；不作税后净利。</t>
    </r>
  </si>
  <si>
    <t xml:space="preserve">固定费用不随规模增长仅为情景假设；扩张需另验容量、招聘、数据吞吐及报价。</t>
  </si>
  <si>
    <t xml:space="preserve">支付费敏感性：全品牌资金费率</t>
  </si>
  <si>
    <t xml:space="preserve">敏感性现金流（同收款账期）</t>
  </si>
  <si>
    <t xml:space="preserve">敏感性累计现金流</t>
  </si>
  <si>
    <t xml:space="preserve">敏感性回本月标记</t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</si>
  <si>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｜基准现金流</t>
    </r>
  </si>
  <si>
    <r>
      <rPr>
        <sz val="11"/>
        <color rgb="FF172B3A"/>
        <rFont val="Linux Libertine G"/>
        <family val="2"/>
      </rPr>
      <t xml:space="preserve">基准｜全部为说明情景；</t>
    </r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，</t>
    </r>
    <r>
      <rPr>
        <sz val="11"/>
        <color rgb="FF172B3A"/>
        <rFont val="Arial"/>
        <family val="0"/>
        <charset val="1"/>
      </rPr>
      <t xml:space="preserve">M1–M36</t>
    </r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</si>
  <si>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｜扩张现金流</t>
    </r>
  </si>
  <si>
    <r>
      <rPr>
        <sz val="11"/>
        <color rgb="FF172B3A"/>
        <rFont val="Linux Libertine G"/>
        <family val="2"/>
      </rPr>
      <t xml:space="preserve">扩张｜全部为说明情景；</t>
    </r>
    <r>
      <rPr>
        <sz val="11"/>
        <color rgb="FF172B3A"/>
        <rFont val="Arial"/>
        <family val="0"/>
        <charset val="1"/>
      </rPr>
      <t xml:space="preserve">RM</t>
    </r>
    <r>
      <rPr>
        <sz val="11"/>
        <color rgb="FF172B3A"/>
        <rFont val="Linux Libertine G"/>
        <family val="2"/>
      </rPr>
      <t xml:space="preserve">，</t>
    </r>
    <r>
      <rPr>
        <sz val="11"/>
        <color rgb="FF172B3A"/>
        <rFont val="Arial"/>
        <family val="0"/>
        <charset val="1"/>
      </rPr>
      <t xml:space="preserve">M1–M36</t>
    </r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</si>
  <si>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｜品牌获客回收</t>
    </r>
  </si>
  <si>
    <t xml:space="preserve">独立品牌获客经济</t>
  </si>
  <si>
    <r>
      <rPr>
        <sz val="11"/>
        <color rgb="FF172B3A"/>
        <rFont val="Linux Libertine G"/>
        <family val="2"/>
      </rPr>
      <t xml:space="preserve">独立品牌</t>
    </r>
    <r>
      <rPr>
        <sz val="11"/>
        <color rgb="FF172B3A"/>
        <rFont val="Arial"/>
        <family val="0"/>
        <charset val="1"/>
      </rPr>
      <t xml:space="preserve">CAC</t>
    </r>
  </si>
  <si>
    <t xml:space="preserve">每月活动／品牌</t>
  </si>
  <si>
    <r>
      <rPr>
        <sz val="11"/>
        <color rgb="FF172B3A"/>
        <rFont val="Linux Libertine G"/>
        <family val="2"/>
      </rPr>
      <t xml:space="preserve">每场贡献（已扣</t>
    </r>
    <r>
      <rPr>
        <sz val="11"/>
        <color rgb="FF172B3A"/>
        <rFont val="Arial"/>
        <family val="0"/>
        <charset val="1"/>
      </rPr>
      <t xml:space="preserve">150</t>
    </r>
    <r>
      <rPr>
        <sz val="11"/>
        <color rgb="FF172B3A"/>
        <rFont val="Linux Libertine G"/>
        <family val="2"/>
      </rPr>
      <t xml:space="preserve">佣金）</t>
    </r>
  </si>
  <si>
    <t xml:space="preserve">每品牌月贡献</t>
  </si>
  <si>
    <t xml:space="preserve">简单回收期（月；持续采购）</t>
  </si>
  <si>
    <r>
      <rPr>
        <sz val="11"/>
        <color rgb="FF8A4D10"/>
        <rFont val="Linux Libertine G"/>
        <family val="2"/>
      </rPr>
      <t xml:space="preserve">单品牌持续每月</t>
    </r>
    <r>
      <rPr>
        <sz val="11"/>
        <color rgb="FF8A4D10"/>
        <rFont val="Arial"/>
        <family val="0"/>
        <charset val="1"/>
      </rPr>
      <t xml:space="preserve">2</t>
    </r>
    <r>
      <rPr>
        <sz val="11"/>
        <color rgb="FF8A4D10"/>
        <rFont val="Linux Libertine G"/>
        <family val="2"/>
      </rPr>
      <t xml:space="preserve">场、不流失的简单回收期；非观察到的客户群回收期。</t>
    </r>
  </si>
  <si>
    <r>
      <rPr>
        <sz val="11"/>
        <color rgb="FF8A4D10"/>
        <rFont val="Linux Libertine G"/>
        <family val="2"/>
      </rPr>
      <t xml:space="preserve">下表为</t>
    </r>
    <r>
      <rPr>
        <sz val="11"/>
        <color rgb="FF8A4D10"/>
        <rFont val="Arial"/>
        <family val="0"/>
        <charset val="1"/>
      </rPr>
      <t xml:space="preserve">1</t>
    </r>
    <r>
      <rPr>
        <sz val="11"/>
        <color rgb="FF8A4D10"/>
        <rFont val="Linux Libertine G"/>
        <family val="2"/>
      </rPr>
      <t xml:space="preserve">个新品牌的留存期望贡献；第</t>
    </r>
    <r>
      <rPr>
        <sz val="11"/>
        <color rgb="FF8A4D10"/>
        <rFont val="Arial"/>
        <family val="0"/>
        <charset val="1"/>
      </rPr>
      <t xml:space="preserve">1</t>
    </r>
    <r>
      <rPr>
        <sz val="11"/>
        <color rgb="FF8A4D10"/>
        <rFont val="Linux Libertine G"/>
        <family val="2"/>
      </rPr>
      <t xml:space="preserve">月完整贡献，第</t>
    </r>
    <r>
      <rPr>
        <sz val="11"/>
        <color rgb="FF8A4D10"/>
        <rFont val="Arial"/>
        <family val="0"/>
        <charset val="1"/>
      </rPr>
      <t xml:space="preserve">2</t>
    </r>
    <r>
      <rPr>
        <sz val="11"/>
        <color rgb="FF8A4D10"/>
        <rFont val="Linux Libertine G"/>
        <family val="2"/>
      </rPr>
      <t xml:space="preserve">月起按留存衰减。</t>
    </r>
  </si>
  <si>
    <t xml:space="preserve">品牌年龄（月）</t>
  </si>
  <si>
    <t xml:space="preserve">预期留存品牌</t>
  </si>
  <si>
    <t xml:space="preserve">累计贡献</t>
  </si>
  <si>
    <r>
      <rPr>
        <b val="true"/>
        <sz val="11"/>
        <color rgb="FFFFFFFF"/>
        <rFont val="Linux Libertine G"/>
        <family val="2"/>
      </rPr>
      <t xml:space="preserve">扣</t>
    </r>
    <r>
      <rPr>
        <b val="true"/>
        <sz val="11"/>
        <color rgb="FFFFFFFF"/>
        <rFont val="Arial"/>
        <family val="0"/>
        <charset val="1"/>
      </rPr>
      <t xml:space="preserve">CAC</t>
    </r>
    <r>
      <rPr>
        <b val="true"/>
        <sz val="11"/>
        <color rgb="FFFFFFFF"/>
        <rFont val="Linux Libertine G"/>
        <family val="2"/>
      </rPr>
      <t xml:space="preserve">后累计</t>
    </r>
  </si>
  <si>
    <t xml:space="preserve">这是贡献口径回收，不分摊固定支出；无销售前置周期、退款或复购延迟假设。</t>
  </si>
  <si>
    <r>
      <rPr>
        <sz val="17"/>
        <color rgb="FF172B3A"/>
        <rFont val="Arial"/>
        <family val="0"/>
        <charset val="1"/>
      </rPr>
      <t xml:space="preserve">Wringy</t>
    </r>
    <r>
      <rPr>
        <sz val="17"/>
        <color rgb="FF172B3A"/>
        <rFont val="Linux Libertine G"/>
        <family val="2"/>
      </rPr>
      <t xml:space="preserve">｜敏感性</t>
    </r>
  </si>
  <si>
    <r>
      <rPr>
        <sz val="11"/>
        <color rgb="FF8A4D10"/>
        <rFont val="Linux Libertine G"/>
        <family val="2"/>
      </rPr>
      <t xml:space="preserve">公式即时计算｜每月经营结果：未含新增品牌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；其影响见下方独立敏感性。</t>
    </r>
  </si>
  <si>
    <t xml:space="preserve">活动数／服务费率</t>
  </si>
  <si>
    <t xml:space="preserve">履约成本／费率</t>
  </si>
  <si>
    <r>
      <rPr>
        <sz val="11"/>
        <color rgb="FF8A4D10"/>
        <rFont val="Linux Libertine G"/>
        <family val="2"/>
      </rPr>
      <t xml:space="preserve">上表：覆盖固定费用所需活动数（新增品牌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之前），向上取整。</t>
    </r>
  </si>
  <si>
    <r>
      <rPr>
        <b val="true"/>
        <sz val="11"/>
        <color rgb="FFFFFFFF"/>
        <rFont val="Linux Libertine G"/>
        <family val="2"/>
      </rPr>
      <t xml:space="preserve">新增品牌数／</t>
    </r>
    <r>
      <rPr>
        <b val="true"/>
        <sz val="11"/>
        <color rgb="FFFFFFFF"/>
        <rFont val="Arial"/>
        <family val="0"/>
        <charset val="1"/>
      </rPr>
      <t xml:space="preserve">CAC</t>
    </r>
  </si>
  <si>
    <r>
      <rPr>
        <sz val="11"/>
        <color rgb="FF8A4D10"/>
        <rFont val="Linux Libertine G"/>
        <family val="2"/>
      </rPr>
      <t xml:space="preserve">上表：按单位经济示例活动量，扣独立品牌</t>
    </r>
    <r>
      <rPr>
        <sz val="11"/>
        <color rgb="FF8A4D10"/>
        <rFont val="Arial"/>
        <family val="0"/>
        <charset val="1"/>
      </rPr>
      <t xml:space="preserve">CAC</t>
    </r>
    <r>
      <rPr>
        <sz val="11"/>
        <color rgb="FF8A4D10"/>
        <rFont val="Linux Libertine G"/>
        <family val="2"/>
      </rPr>
      <t xml:space="preserve">后的月经营结果。</t>
    </r>
  </si>
  <si>
    <t xml:space="preserve">全资金支付费率</t>
  </si>
  <si>
    <t xml:space="preserve">每场支付成本</t>
  </si>
  <si>
    <t xml:space="preserve">每场贡献</t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</si>
  <si>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Linux Libertine G"/>
        <family val="2"/>
      </rPr>
      <t xml:space="preserve">场毛利率</t>
    </r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</si>
  <si>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Linux Libertine G"/>
        <family val="2"/>
      </rPr>
      <t xml:space="preserve">场经营（</t>
    </r>
    <r>
      <rPr>
        <b val="true"/>
        <sz val="11"/>
        <color rgb="FFFFFFFF"/>
        <rFont val="Arial"/>
        <family val="0"/>
        <charset val="1"/>
      </rPr>
      <t xml:space="preserve">CAC</t>
    </r>
    <r>
      <rPr>
        <b val="true"/>
        <sz val="11"/>
        <color rgb="FFFFFFFF"/>
        <rFont val="Linux Libertine G"/>
        <family val="2"/>
      </rPr>
      <t xml:space="preserve">前）</t>
    </r>
  </si>
  <si>
    <r>
      <rPr>
        <sz val="11"/>
        <color rgb="FF8A4D10"/>
        <rFont val="Arial"/>
        <family val="0"/>
        <charset val="1"/>
      </rPr>
      <t xml:space="preserve">3%×RM11,500</t>
    </r>
    <r>
      <rPr>
        <sz val="11"/>
        <color rgb="FF8A4D10"/>
        <rFont val="Linux Libertine G"/>
        <family val="2"/>
      </rPr>
      <t xml:space="preserve">＝</t>
    </r>
    <r>
      <rPr>
        <sz val="11"/>
        <color rgb="FF8A4D10"/>
        <rFont val="Arial"/>
        <family val="0"/>
        <charset val="1"/>
      </rPr>
      <t xml:space="preserve">RM345</t>
    </r>
    <r>
      <rPr>
        <sz val="11"/>
        <color rgb="FF8A4D10"/>
        <rFont val="Linux Libertine G"/>
        <family val="2"/>
      </rPr>
      <t xml:space="preserve">；未加待报价出款固定费。改假设</t>
    </r>
    <r>
      <rPr>
        <sz val="11"/>
        <color rgb="FF8A4D10"/>
        <rFont val="Arial"/>
        <family val="0"/>
        <charset val="1"/>
      </rPr>
      <t xml:space="preserve">D49</t>
    </r>
    <r>
      <rPr>
        <sz val="11"/>
        <color rgb="FF8A4D10"/>
        <rFont val="Linux Libertine G"/>
        <family val="2"/>
      </rPr>
      <t xml:space="preserve">为</t>
    </r>
    <r>
      <rPr>
        <sz val="11"/>
        <color rgb="FF8A4D10"/>
        <rFont val="Arial"/>
        <family val="0"/>
        <charset val="1"/>
      </rPr>
      <t xml:space="preserve">1</t>
    </r>
    <r>
      <rPr>
        <sz val="11"/>
        <color rgb="FF8A4D10"/>
        <rFont val="Linux Libertine G"/>
        <family val="2"/>
      </rPr>
      <t xml:space="preserve">可重算所有公司回本。</t>
    </r>
  </si>
  <si>
    <t xml:space="preserve">全品牌资金费率情景</t>
  </si>
  <si>
    <r>
      <rPr>
        <sz val="11"/>
        <color rgb="FF172B3A"/>
        <rFont val="Linux Libertine G"/>
        <family val="2"/>
      </rPr>
      <t xml:space="preserve">峰值资金缺口／</t>
    </r>
    <r>
      <rPr>
        <sz val="11"/>
        <color rgb="FF172B3A"/>
        <rFont val="Arial"/>
        <family val="0"/>
        <charset val="1"/>
      </rPr>
      <t xml:space="preserve">RM</t>
    </r>
  </si>
  <si>
    <r>
      <rPr>
        <sz val="11"/>
        <color rgb="FF8A4D10"/>
        <rFont val="Linux Libertine G"/>
        <family val="2"/>
      </rPr>
      <t xml:space="preserve">此表使用假设中的全资金费率（默认</t>
    </r>
    <r>
      <rPr>
        <sz val="11"/>
        <color rgb="FF8A4D10"/>
        <rFont val="Arial"/>
        <family val="0"/>
        <charset val="1"/>
      </rPr>
      <t xml:space="preserve">3%</t>
    </r>
    <r>
      <rPr>
        <sz val="11"/>
        <color rgb="FF8A4D10"/>
        <rFont val="Linux Libertine G"/>
        <family val="2"/>
      </rPr>
      <t xml:space="preserve">），同其他成本及收款账期实时计算。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</si>
</sst>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—"/>
    <numFmt numFmtId="166" formatCode="0.0%"/>
    <numFmt numFmtId="167" formatCode="#,##0"/>
    <numFmt numFmtId="168" formatCode="0.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72B3A"/>
      <name val="Arial"/>
      <family val="0"/>
      <charset val="1"/>
    </font>
    <font>
      <sz val="17"/>
      <color rgb="FF172B3A"/>
      <name val="Arial"/>
      <family val="0"/>
      <charset val="1"/>
    </font>
    <font>
      <sz val="17"/>
      <color rgb="FF172B3A"/>
      <name val="Linux Libertine G"/>
      <family val="2"/>
    </font>
    <font>
      <sz val="11"/>
      <color rgb="FF8A4D10"/>
      <name val="Linux Libertine G"/>
      <family val="2"/>
    </font>
    <font>
      <sz val="11"/>
      <color rgb="FF8A4D10"/>
      <name val="Arial"/>
      <family val="0"/>
      <charset val="1"/>
    </font>
    <font>
      <b val="true"/>
      <sz val="11"/>
      <color rgb="FFFFFFFF"/>
      <name val="Linux Libertine G"/>
      <family val="2"/>
    </font>
    <font>
      <sz val="11"/>
      <color rgb="FF172B3A"/>
      <name val="Linux Libertine G"/>
      <family val="2"/>
    </font>
    <font>
      <b val="true"/>
      <sz val="11"/>
      <color rgb="FFFFFFFF"/>
      <name val="Arial"/>
      <family val="0"/>
      <charset val="1"/>
    </font>
    <font>
      <sz val="11"/>
      <color rgb="FF16724A"/>
      <name val="Arial"/>
      <family val="0"/>
      <charset val="1"/>
    </font>
    <font>
      <sz val="11"/>
      <color rgb="FF16724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2458C5"/>
      <name val="Arial"/>
      <family val="0"/>
      <charset val="1"/>
    </font>
    <font>
      <sz val="11"/>
      <color rgb="FF2458C5"/>
      <name val="Calibri"/>
      <family val="0"/>
      <charset val="1"/>
    </font>
    <font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D2A"/>
        <bgColor rgb="FF172B3A"/>
      </patternFill>
    </fill>
    <fill>
      <patternFill patternType="solid">
        <fgColor rgb="FFFFF3CE"/>
        <bgColor rgb="FFE9F0F2"/>
      </patternFill>
    </fill>
    <fill>
      <patternFill patternType="solid">
        <fgColor rgb="FFE9F0F2"/>
        <bgColor rgb="FFFFF3CE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18A32"/>
      <rgbColor rgb="FF800080"/>
      <rgbColor rgb="FF16724A"/>
      <rgbColor rgb="FFCCCCCC"/>
      <rgbColor rgb="FF8B8B8B"/>
      <rgbColor rgb="FF9999FF"/>
      <rgbColor rgb="FF993366"/>
      <rgbColor rgb="FFFFF3CE"/>
      <rgbColor rgb="FFE9F0F2"/>
      <rgbColor rgb="FF660066"/>
      <rgbColor rgb="FFFF8080"/>
      <rgbColor rgb="FF2458C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258"/>
      <rgbColor rgb="FF969696"/>
      <rgbColor rgb="FF003366"/>
      <rgbColor rgb="FF339966"/>
      <rgbColor rgb="FF173D2A"/>
      <rgbColor rgb="FF171A14"/>
      <rgbColor rgb="FF8A4D10"/>
      <rgbColor rgb="FF993366"/>
      <rgbColor rgb="FF333399"/>
      <rgbColor rgb="FF17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公司累计现金流（RM，融资前税前）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"保守累计现金"</c:f>
              <c:strCache>
                <c:ptCount val="1"/>
                <c:pt idx="0">
                  <c:v>保守累计现金</c:v>
                </c:pt>
              </c:strCache>
            </c:strRef>
          </c:tx>
          <c:spPr>
            <a:solidFill>
              <a:srgbClr val="5C6258"/>
            </a:solidFill>
            <a:ln w="19080">
              <a:solidFill>
                <a:srgbClr val="5C625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总览!$C$44:$C$79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总览!$D$44:$D$79</c:f>
              <c:numCache>
                <c:formatCode>#,##0;\(#,##0\);\—</c:formatCode>
                <c:ptCount val="36"/>
                <c:pt idx="0">
                  <c:v>-59437.5</c:v>
                </c:pt>
                <c:pt idx="1">
                  <c:v>-118875</c:v>
                </c:pt>
                <c:pt idx="2">
                  <c:v>-178312.5</c:v>
                </c:pt>
                <c:pt idx="3">
                  <c:v>-237750</c:v>
                </c:pt>
                <c:pt idx="4">
                  <c:v>-301750</c:v>
                </c:pt>
                <c:pt idx="5">
                  <c:v>-315900</c:v>
                </c:pt>
                <c:pt idx="6">
                  <c:v>-328625</c:v>
                </c:pt>
                <c:pt idx="7">
                  <c:v>-339925</c:v>
                </c:pt>
                <c:pt idx="8">
                  <c:v>-349800</c:v>
                </c:pt>
                <c:pt idx="9">
                  <c:v>-358250</c:v>
                </c:pt>
                <c:pt idx="10">
                  <c:v>-365275</c:v>
                </c:pt>
                <c:pt idx="11">
                  <c:v>-370875</c:v>
                </c:pt>
                <c:pt idx="12">
                  <c:v>-375050</c:v>
                </c:pt>
                <c:pt idx="13">
                  <c:v>-377800</c:v>
                </c:pt>
                <c:pt idx="14">
                  <c:v>-380550</c:v>
                </c:pt>
                <c:pt idx="15">
                  <c:v>-381875</c:v>
                </c:pt>
                <c:pt idx="16">
                  <c:v>-383200</c:v>
                </c:pt>
                <c:pt idx="17">
                  <c:v>-383100</c:v>
                </c:pt>
                <c:pt idx="18">
                  <c:v>-383000</c:v>
                </c:pt>
                <c:pt idx="19">
                  <c:v>-382900</c:v>
                </c:pt>
                <c:pt idx="20">
                  <c:v>-381375</c:v>
                </c:pt>
                <c:pt idx="21">
                  <c:v>-379850</c:v>
                </c:pt>
                <c:pt idx="22">
                  <c:v>-378325</c:v>
                </c:pt>
                <c:pt idx="23">
                  <c:v>-375375</c:v>
                </c:pt>
                <c:pt idx="24">
                  <c:v>-372425</c:v>
                </c:pt>
                <c:pt idx="25">
                  <c:v>-369475</c:v>
                </c:pt>
                <c:pt idx="26">
                  <c:v>-365100</c:v>
                </c:pt>
                <c:pt idx="27">
                  <c:v>-360725</c:v>
                </c:pt>
                <c:pt idx="28">
                  <c:v>-356350</c:v>
                </c:pt>
                <c:pt idx="29">
                  <c:v>-351975</c:v>
                </c:pt>
                <c:pt idx="30">
                  <c:v>-347600</c:v>
                </c:pt>
                <c:pt idx="31">
                  <c:v>-343225</c:v>
                </c:pt>
                <c:pt idx="32">
                  <c:v>-338850</c:v>
                </c:pt>
                <c:pt idx="33">
                  <c:v>-334475</c:v>
                </c:pt>
                <c:pt idx="34">
                  <c:v>-330100</c:v>
                </c:pt>
                <c:pt idx="35">
                  <c:v>-325725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"基准累计现金"</c:f>
              <c:strCache>
                <c:ptCount val="1"/>
                <c:pt idx="0">
                  <c:v>基准累计现金</c:v>
                </c:pt>
              </c:strCache>
            </c:strRef>
          </c:tx>
          <c:spPr>
            <a:solidFill>
              <a:srgbClr val="173D2A"/>
            </a:solidFill>
            <a:ln w="19080">
              <a:solidFill>
                <a:srgbClr val="173D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总览!$C$44:$C$79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总览!$E$44:$E$79</c:f>
              <c:numCache>
                <c:formatCode>#,##0;\(#,##0\);\—</c:formatCode>
                <c:ptCount val="36"/>
                <c:pt idx="0">
                  <c:v>-59437.5</c:v>
                </c:pt>
                <c:pt idx="1">
                  <c:v>-118875</c:v>
                </c:pt>
                <c:pt idx="2">
                  <c:v>-178312.5</c:v>
                </c:pt>
                <c:pt idx="3">
                  <c:v>-237750</c:v>
                </c:pt>
                <c:pt idx="4">
                  <c:v>-298750</c:v>
                </c:pt>
                <c:pt idx="5">
                  <c:v>-310050</c:v>
                </c:pt>
                <c:pt idx="6">
                  <c:v>-318500</c:v>
                </c:pt>
                <c:pt idx="7">
                  <c:v>-324100</c:v>
                </c:pt>
                <c:pt idx="8">
                  <c:v>-326850</c:v>
                </c:pt>
                <c:pt idx="9">
                  <c:v>-326750</c:v>
                </c:pt>
                <c:pt idx="10">
                  <c:v>-323800</c:v>
                </c:pt>
                <c:pt idx="11">
                  <c:v>-318000</c:v>
                </c:pt>
                <c:pt idx="12">
                  <c:v>-309350</c:v>
                </c:pt>
                <c:pt idx="13">
                  <c:v>-297850</c:v>
                </c:pt>
                <c:pt idx="14">
                  <c:v>-283500</c:v>
                </c:pt>
                <c:pt idx="15">
                  <c:v>-266300</c:v>
                </c:pt>
                <c:pt idx="16">
                  <c:v>-246250</c:v>
                </c:pt>
                <c:pt idx="17">
                  <c:v>-223350</c:v>
                </c:pt>
                <c:pt idx="18">
                  <c:v>-197600</c:v>
                </c:pt>
                <c:pt idx="19">
                  <c:v>-169000</c:v>
                </c:pt>
                <c:pt idx="20">
                  <c:v>-137550</c:v>
                </c:pt>
                <c:pt idx="21">
                  <c:v>-103250</c:v>
                </c:pt>
                <c:pt idx="22">
                  <c:v>-66100</c:v>
                </c:pt>
                <c:pt idx="23">
                  <c:v>-26100</c:v>
                </c:pt>
                <c:pt idx="24">
                  <c:v>16750</c:v>
                </c:pt>
                <c:pt idx="25">
                  <c:v>62450</c:v>
                </c:pt>
                <c:pt idx="26">
                  <c:v>111000</c:v>
                </c:pt>
                <c:pt idx="27">
                  <c:v>162400</c:v>
                </c:pt>
                <c:pt idx="28">
                  <c:v>216650</c:v>
                </c:pt>
                <c:pt idx="29">
                  <c:v>270900</c:v>
                </c:pt>
                <c:pt idx="30">
                  <c:v>325150</c:v>
                </c:pt>
                <c:pt idx="31">
                  <c:v>379400</c:v>
                </c:pt>
                <c:pt idx="32">
                  <c:v>433650</c:v>
                </c:pt>
                <c:pt idx="33">
                  <c:v>487900</c:v>
                </c:pt>
                <c:pt idx="34">
                  <c:v>542150</c:v>
                </c:pt>
                <c:pt idx="35">
                  <c:v>596400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"扩张累计现金"</c:f>
              <c:strCache>
                <c:ptCount val="1"/>
                <c:pt idx="0">
                  <c:v>扩张累计现金</c:v>
                </c:pt>
              </c:strCache>
            </c:strRef>
          </c:tx>
          <c:spPr>
            <a:solidFill>
              <a:srgbClr val="171A14"/>
            </a:solidFill>
            <a:ln w="19080">
              <a:solidFill>
                <a:srgbClr val="171A1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总览!$C$44:$C$79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总览!$F$44:$F$79</c:f>
              <c:numCache>
                <c:formatCode>#,##0;\(#,##0\);\—</c:formatCode>
                <c:ptCount val="36"/>
                <c:pt idx="0">
                  <c:v>-59437.5</c:v>
                </c:pt>
                <c:pt idx="1">
                  <c:v>-118875</c:v>
                </c:pt>
                <c:pt idx="2">
                  <c:v>-178312.5</c:v>
                </c:pt>
                <c:pt idx="3">
                  <c:v>-237750</c:v>
                </c:pt>
                <c:pt idx="4">
                  <c:v>-295750</c:v>
                </c:pt>
                <c:pt idx="5">
                  <c:v>-304200</c:v>
                </c:pt>
                <c:pt idx="6">
                  <c:v>-306950</c:v>
                </c:pt>
                <c:pt idx="7">
                  <c:v>-304000</c:v>
                </c:pt>
                <c:pt idx="8">
                  <c:v>-295350</c:v>
                </c:pt>
                <c:pt idx="9">
                  <c:v>-281000</c:v>
                </c:pt>
                <c:pt idx="10">
                  <c:v>-260950</c:v>
                </c:pt>
                <c:pt idx="11">
                  <c:v>-235200</c:v>
                </c:pt>
                <c:pt idx="12">
                  <c:v>-203750</c:v>
                </c:pt>
                <c:pt idx="13">
                  <c:v>-166600</c:v>
                </c:pt>
                <c:pt idx="14">
                  <c:v>-123750</c:v>
                </c:pt>
                <c:pt idx="15">
                  <c:v>-75200</c:v>
                </c:pt>
                <c:pt idx="16">
                  <c:v>-20950</c:v>
                </c:pt>
                <c:pt idx="17">
                  <c:v>40425</c:v>
                </c:pt>
                <c:pt idx="18">
                  <c:v>108925</c:v>
                </c:pt>
                <c:pt idx="19">
                  <c:v>184550</c:v>
                </c:pt>
                <c:pt idx="20">
                  <c:v>267300</c:v>
                </c:pt>
                <c:pt idx="21">
                  <c:v>357175</c:v>
                </c:pt>
                <c:pt idx="22">
                  <c:v>454175</c:v>
                </c:pt>
                <c:pt idx="23">
                  <c:v>558300</c:v>
                </c:pt>
                <c:pt idx="24">
                  <c:v>669550</c:v>
                </c:pt>
                <c:pt idx="25">
                  <c:v>787925</c:v>
                </c:pt>
                <c:pt idx="26">
                  <c:v>913425</c:v>
                </c:pt>
                <c:pt idx="27">
                  <c:v>1046050</c:v>
                </c:pt>
                <c:pt idx="28">
                  <c:v>1185800</c:v>
                </c:pt>
                <c:pt idx="29">
                  <c:v>1332675</c:v>
                </c:pt>
                <c:pt idx="30">
                  <c:v>1486675</c:v>
                </c:pt>
                <c:pt idx="31">
                  <c:v>1640675</c:v>
                </c:pt>
                <c:pt idx="32">
                  <c:v>1794675</c:v>
                </c:pt>
                <c:pt idx="33">
                  <c:v>1948675</c:v>
                </c:pt>
                <c:pt idx="34">
                  <c:v>2102675</c:v>
                </c:pt>
                <c:pt idx="35">
                  <c:v>2256675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8745"/>
        <c:axId val="65197320"/>
      </c:lineChart>
      <c:catAx>
        <c:axId val="401874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5197320"/>
        <c:crosses val="autoZero"/>
        <c:auto val="1"/>
        <c:lblAlgn val="ctr"/>
        <c:lblOffset val="100"/>
        <c:noMultiLvlLbl val="0"/>
      </c:catAx>
      <c:valAx>
        <c:axId val="6519732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01874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16</xdr:col>
      <xdr:colOff>1197720</xdr:colOff>
      <xdr:row>23</xdr:row>
      <xdr:rowOff>304560</xdr:rowOff>
    </xdr:to>
    <xdr:graphicFrame>
      <xdr:nvGraphicFramePr>
        <xdr:cNvPr id="1" name="Chart"/>
        <xdr:cNvGraphicFramePr/>
      </xdr:nvGraphicFramePr>
      <xdr:xfrm>
        <a:off x="9515520" y="1219320"/>
        <a:ext cx="11981880" cy="62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D2A"/>
    <pageSetUpPr fitToPage="false"/>
  </sheetPr>
  <dimension ref="A1:AN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6" min="4" style="0" width="25"/>
    <col collapsed="false" customWidth="true" hidden="false" outlineLevel="0" max="40" min="7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24" hidden="false" customHeight="true" outlineLevel="0" collapsed="false">
      <c r="A2" s="1"/>
      <c r="B2" s="1"/>
      <c r="C2" s="4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24" hidden="false" customHeight="true" outlineLevel="0" collapsed="false">
      <c r="A3" s="1"/>
      <c r="B3" s="1"/>
      <c r="C3" s="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customFormat="false" ht="29" hidden="false" customHeight="true" outlineLevel="0" collapsed="false">
      <c r="A5" s="1"/>
      <c r="B5" s="1"/>
      <c r="C5" s="6" t="s">
        <v>2</v>
      </c>
      <c r="D5" s="7" t="s">
        <v>3</v>
      </c>
      <c r="E5" s="7" t="s">
        <v>4</v>
      </c>
      <c r="F5" s="7" t="s">
        <v>5</v>
      </c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Format="false" ht="24" hidden="false" customHeight="true" outlineLevel="0" collapsed="false">
      <c r="A6" s="1"/>
      <c r="B6" s="1"/>
      <c r="C6" s="8" t="s">
        <v>6</v>
      </c>
      <c r="D6" s="2" t="str">
        <f aca="false">IF(MIN(保守现金流!D31:AM31)=999,"36个月内未回本",MIN(保守现金流!D31:AM31))</f>
        <v>36个月内未回本</v>
      </c>
      <c r="E6" s="2" t="n">
        <f aca="false">IF(MIN(基准现金流!D31:AM31)=999,"36个月内未回本",MIN(基准现金流!D31:AM31))</f>
        <v>25</v>
      </c>
      <c r="F6" s="2" t="n">
        <f aca="false">IF(MIN(扩张现金流!D31:AM31)=999,"36个月内未回本",MIN(扩张现金流!D31:AM31))</f>
        <v>18</v>
      </c>
      <c r="G6" s="2"/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Format="false" ht="24" hidden="false" customHeight="true" outlineLevel="0" collapsed="false">
      <c r="A7" s="1"/>
      <c r="B7" s="1"/>
      <c r="C7" s="8" t="s">
        <v>7</v>
      </c>
      <c r="D7" s="2" t="n">
        <f aca="false">IF(MIN(保守现金流!D32:AM32)=999,"36个月内未转正",MIN(保守现金流!D32:AM32))</f>
        <v>18</v>
      </c>
      <c r="E7" s="2" t="n">
        <f aca="false">IF(MIN(基准现金流!D32:AM32)=999,"36个月内未转正",MIN(基准现金流!D32:AM32))</f>
        <v>10</v>
      </c>
      <c r="F7" s="2" t="n">
        <f aca="false">IF(MIN(扩张现金流!D32:AM32)=999,"36个月内未转正",MIN(扩张现金流!D32:AM32))</f>
        <v>8</v>
      </c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customFormat="false" ht="24" hidden="false" customHeight="true" outlineLevel="0" collapsed="false">
      <c r="A8" s="1"/>
      <c r="B8" s="1"/>
      <c r="C8" s="8" t="s">
        <v>8</v>
      </c>
      <c r="D8" s="2" t="n">
        <f aca="false">MAX(0,-MIN(保守现金流!D29:AM29))</f>
        <v>383200</v>
      </c>
      <c r="E8" s="2" t="n">
        <f aca="false">MAX(0,-MIN(基准现金流!D29:AM29))</f>
        <v>326850</v>
      </c>
      <c r="F8" s="2" t="n">
        <f aca="false">MAX(0,-MIN(扩张现金流!D29:AM29))</f>
        <v>306950</v>
      </c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customFormat="false" ht="24" hidden="false" customHeight="true" outlineLevel="0" collapsed="false">
      <c r="A9" s="1"/>
      <c r="B9" s="1"/>
      <c r="C9" s="1" t="s">
        <v>9</v>
      </c>
      <c r="D9" s="2" t="n">
        <f aca="false">保守现金流!AM29</f>
        <v>-325725</v>
      </c>
      <c r="E9" s="2" t="n">
        <f aca="false">基准现金流!AM29</f>
        <v>596400</v>
      </c>
      <c r="F9" s="2" t="n">
        <f aca="false">扩张现金流!AM29</f>
        <v>2256675</v>
      </c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customFormat="false" ht="24" hidden="false" customHeight="true" outlineLevel="0" collapsed="false">
      <c r="A10" s="1"/>
      <c r="B10" s="1"/>
      <c r="C10" s="1" t="s">
        <v>10</v>
      </c>
      <c r="D10" s="2" t="n">
        <f aca="false">SUM(保守现金流!D14:AM14)</f>
        <v>1104000</v>
      </c>
      <c r="E10" s="2" t="n">
        <f aca="false">SUM(基准现金流!D14:AM14)</f>
        <v>3144000</v>
      </c>
      <c r="F10" s="2" t="n">
        <f aca="false">SUM(扩张现金流!D14:AM14)</f>
        <v>6843000</v>
      </c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customFormat="false" ht="24" hidden="false" customHeight="true" outlineLevel="0" collapsed="false">
      <c r="A11" s="1"/>
      <c r="B11" s="1"/>
      <c r="C11" s="1" t="s">
        <v>11</v>
      </c>
      <c r="D11" s="2" t="n">
        <f aca="false">保守现金流!AM6</f>
        <v>30</v>
      </c>
      <c r="E11" s="2" t="n">
        <f aca="false">基准现金流!AM6</f>
        <v>100</v>
      </c>
      <c r="F11" s="2" t="n">
        <f aca="false">扩张现金流!AM6</f>
        <v>240</v>
      </c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customFormat="false" ht="24" hidden="false" customHeight="true" outlineLevel="0" collapsed="false">
      <c r="A12" s="1"/>
      <c r="B12" s="1"/>
      <c r="C12" s="1" t="s">
        <v>12</v>
      </c>
      <c r="D12" s="2" t="n">
        <f aca="false">保守现金流!AM11</f>
        <v>60000000</v>
      </c>
      <c r="E12" s="2" t="n">
        <f aca="false">基准现金流!AM11</f>
        <v>200000000</v>
      </c>
      <c r="F12" s="2" t="n">
        <f aca="false">扩张现金流!AM11</f>
        <v>480000000</v>
      </c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customFormat="false" ht="24" hidden="false" customHeight="true" outlineLevel="0" collapsed="false">
      <c r="A13" s="1"/>
      <c r="B13" s="1"/>
      <c r="C13" s="1" t="s">
        <v>13</v>
      </c>
      <c r="D13" s="2" t="n">
        <f aca="false">SUM(保守现金流!D10:AM10)</f>
        <v>45975</v>
      </c>
      <c r="E13" s="2" t="n">
        <f aca="false">SUM(基准现金流!D10:AM10)</f>
        <v>143850</v>
      </c>
      <c r="F13" s="2" t="n">
        <f aca="false">SUM(扩张现金流!D10:AM10)</f>
        <v>333075</v>
      </c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customFormat="false" ht="24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customFormat="false" ht="24" hidden="false" customHeight="true" outlineLevel="0" collapsed="false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customFormat="false" ht="29" hidden="false" customHeight="true" outlineLevel="0" collapsed="false">
      <c r="A16" s="1"/>
      <c r="B16" s="1"/>
      <c r="C16" s="9" t="s">
        <v>14</v>
      </c>
      <c r="D16" s="7" t="s">
        <v>15</v>
      </c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customFormat="false" ht="24" hidden="false" customHeight="true" outlineLevel="0" collapsed="false">
      <c r="A17" s="1"/>
      <c r="B17" s="1"/>
      <c r="C17" s="8" t="s">
        <v>16</v>
      </c>
      <c r="D17" s="10" t="n">
        <f aca="false">单位经济!D8</f>
        <v>0.15</v>
      </c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customFormat="false" ht="24" hidden="false" customHeight="true" outlineLevel="0" collapsed="false">
      <c r="A18" s="1"/>
      <c r="B18" s="1"/>
      <c r="C18" s="8" t="s">
        <v>17</v>
      </c>
      <c r="D18" s="10" t="n">
        <f aca="false">单位经济!D9</f>
        <v>0.130434782608696</v>
      </c>
      <c r="E18" s="2"/>
      <c r="F18" s="2"/>
      <c r="G18" s="2"/>
      <c r="H18" s="2"/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customFormat="false" ht="24" hidden="false" customHeight="true" outlineLevel="0" collapsed="false">
      <c r="A19" s="1"/>
      <c r="B19" s="1"/>
      <c r="C19" s="8" t="s">
        <v>18</v>
      </c>
      <c r="D19" s="10" t="n">
        <f aca="false">单位经济!D19</f>
        <v>0.533333333333333</v>
      </c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customFormat="false" ht="24" hidden="false" customHeight="true" outlineLevel="0" collapsed="false">
      <c r="A20" s="1"/>
      <c r="B20" s="1"/>
      <c r="C20" s="8" t="s">
        <v>19</v>
      </c>
      <c r="D20" s="10" t="n">
        <f aca="false">单位经济!D14</f>
        <v>0.5</v>
      </c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customFormat="false" ht="24" hidden="false" customHeight="true" outlineLevel="0" collapsed="false">
      <c r="A21" s="1"/>
      <c r="B21" s="1"/>
      <c r="C21" s="8" t="s">
        <v>20</v>
      </c>
      <c r="D21" s="2" t="n">
        <f aca="false">单位经济!D22</f>
        <v>-2000</v>
      </c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customFormat="false" ht="24" hidden="false" customHeight="true" outlineLevel="0" collapsed="false">
      <c r="A22" s="1"/>
      <c r="B22" s="1"/>
      <c r="C22" s="8" t="s">
        <v>21</v>
      </c>
      <c r="D22" s="2" t="n">
        <f aca="false">单位经济!D24</f>
        <v>23</v>
      </c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customFormat="false" ht="24" hidden="false" customHeight="true" outlineLevel="0" collapsed="false">
      <c r="A23" s="1"/>
      <c r="B23" s="1"/>
      <c r="C23" s="8" t="s">
        <v>22</v>
      </c>
      <c r="D23" s="2" t="n">
        <f aca="false">品牌获客回收!D10</f>
        <v>1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24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customFormat="false" ht="24" hidden="false" customHeight="true" outlineLevel="0" collapsed="false">
      <c r="A25" s="1"/>
      <c r="B25" s="1"/>
      <c r="C25" s="5" t="s">
        <v>23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customFormat="false" ht="24" hidden="false" customHeight="true" outlineLevel="0" collapsed="false">
      <c r="A26" s="1"/>
      <c r="B26" s="1"/>
      <c r="C26" s="5" t="s">
        <v>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24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24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customFormat="false" ht="24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customFormat="false" ht="24" hidden="false" customHeight="true" outlineLevel="0" collapsed="false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customFormat="false" ht="24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customFormat="false" ht="24" hidden="false" customHeight="true" outlineLevel="0" collapsed="false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customFormat="false" ht="24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customFormat="false" ht="24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customFormat="false" ht="24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customFormat="false" ht="24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customFormat="false" ht="24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customFormat="false" ht="24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customFormat="false" ht="24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customFormat="false" ht="24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customFormat="false" ht="24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customFormat="false" ht="24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customFormat="false" ht="29" hidden="false" customHeight="true" outlineLevel="0" collapsed="false">
      <c r="A43" s="1"/>
      <c r="B43" s="1"/>
      <c r="C43" s="6" t="s">
        <v>25</v>
      </c>
      <c r="D43" s="7" t="s">
        <v>26</v>
      </c>
      <c r="E43" s="7" t="s">
        <v>27</v>
      </c>
      <c r="F43" s="7" t="s">
        <v>28</v>
      </c>
      <c r="G43" s="2"/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customFormat="false" ht="24" hidden="false" customHeight="true" outlineLevel="0" collapsed="false">
      <c r="A44" s="1"/>
      <c r="B44" s="1"/>
      <c r="C44" s="1" t="s">
        <v>29</v>
      </c>
      <c r="D44" s="11" t="n">
        <f aca="false">保守现金流!D29</f>
        <v>-59437.5</v>
      </c>
      <c r="E44" s="11" t="n">
        <f aca="false">基准现金流!D29</f>
        <v>-59437.5</v>
      </c>
      <c r="F44" s="11" t="n">
        <f aca="false">扩张现金流!D29</f>
        <v>-59437.5</v>
      </c>
      <c r="G44" s="2"/>
      <c r="H44" s="2"/>
      <c r="I44" s="2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customFormat="false" ht="24" hidden="false" customHeight="true" outlineLevel="0" collapsed="false">
      <c r="A45" s="1"/>
      <c r="B45" s="1"/>
      <c r="C45" s="1" t="s">
        <v>30</v>
      </c>
      <c r="D45" s="11" t="n">
        <f aca="false">保守现金流!E29</f>
        <v>-118875</v>
      </c>
      <c r="E45" s="11" t="n">
        <f aca="false">基准现金流!E29</f>
        <v>-118875</v>
      </c>
      <c r="F45" s="11" t="n">
        <f aca="false">扩张现金流!E29</f>
        <v>-118875</v>
      </c>
      <c r="G45" s="2"/>
      <c r="H45" s="2"/>
      <c r="I45" s="2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customFormat="false" ht="24" hidden="false" customHeight="true" outlineLevel="0" collapsed="false">
      <c r="A46" s="1"/>
      <c r="B46" s="1"/>
      <c r="C46" s="1" t="s">
        <v>31</v>
      </c>
      <c r="D46" s="12" t="n">
        <f aca="false">保守现金流!F29</f>
        <v>-178312.5</v>
      </c>
      <c r="E46" s="12" t="n">
        <f aca="false">基准现金流!F29</f>
        <v>-178312.5</v>
      </c>
      <c r="F46" s="12" t="n">
        <f aca="false">扩张现金流!F29</f>
        <v>-178312.5</v>
      </c>
      <c r="G46" s="1"/>
      <c r="H46" s="1"/>
      <c r="I46" s="1"/>
      <c r="J46" s="1"/>
      <c r="K46" s="1"/>
      <c r="L46" s="1"/>
      <c r="M46" s="1"/>
    </row>
    <row r="47" customFormat="false" ht="24" hidden="false" customHeight="true" outlineLevel="0" collapsed="false">
      <c r="A47" s="1"/>
      <c r="B47" s="1"/>
      <c r="C47" s="1" t="s">
        <v>32</v>
      </c>
      <c r="D47" s="12" t="n">
        <f aca="false">保守现金流!G29</f>
        <v>-237750</v>
      </c>
      <c r="E47" s="12" t="n">
        <f aca="false">基准现金流!G29</f>
        <v>-237750</v>
      </c>
      <c r="F47" s="12" t="n">
        <f aca="false">扩张现金流!G29</f>
        <v>-237750</v>
      </c>
      <c r="G47" s="1"/>
      <c r="H47" s="1"/>
      <c r="I47" s="1"/>
      <c r="J47" s="1"/>
      <c r="K47" s="1"/>
      <c r="L47" s="1"/>
      <c r="M47" s="1"/>
    </row>
    <row r="48" customFormat="false" ht="24" hidden="false" customHeight="true" outlineLevel="0" collapsed="false">
      <c r="A48" s="1"/>
      <c r="B48" s="1"/>
      <c r="C48" s="1" t="s">
        <v>33</v>
      </c>
      <c r="D48" s="12" t="n">
        <f aca="false">保守现金流!H29</f>
        <v>-301750</v>
      </c>
      <c r="E48" s="12" t="n">
        <f aca="false">基准现金流!H29</f>
        <v>-298750</v>
      </c>
      <c r="F48" s="12" t="n">
        <f aca="false">扩张现金流!H29</f>
        <v>-295750</v>
      </c>
      <c r="G48" s="1"/>
      <c r="H48" s="1"/>
      <c r="I48" s="1"/>
      <c r="J48" s="1"/>
      <c r="K48" s="1"/>
      <c r="L48" s="1"/>
      <c r="M48" s="1"/>
    </row>
    <row r="49" customFormat="false" ht="24" hidden="false" customHeight="true" outlineLevel="0" collapsed="false">
      <c r="A49" s="1"/>
      <c r="B49" s="1"/>
      <c r="C49" s="1" t="s">
        <v>34</v>
      </c>
      <c r="D49" s="12" t="n">
        <f aca="false">保守现金流!I29</f>
        <v>-315900</v>
      </c>
      <c r="E49" s="12" t="n">
        <f aca="false">基准现金流!I29</f>
        <v>-310050</v>
      </c>
      <c r="F49" s="12" t="n">
        <f aca="false">扩张现金流!I29</f>
        <v>-304200</v>
      </c>
      <c r="G49" s="1"/>
      <c r="H49" s="1"/>
      <c r="I49" s="1"/>
      <c r="J49" s="1"/>
      <c r="K49" s="1"/>
      <c r="L49" s="1"/>
      <c r="M49" s="1"/>
    </row>
    <row r="50" customFormat="false" ht="24" hidden="false" customHeight="true" outlineLevel="0" collapsed="false">
      <c r="A50" s="1"/>
      <c r="B50" s="1"/>
      <c r="C50" s="1" t="s">
        <v>35</v>
      </c>
      <c r="D50" s="12" t="n">
        <f aca="false">保守现金流!J29</f>
        <v>-328625</v>
      </c>
      <c r="E50" s="12" t="n">
        <f aca="false">基准现金流!J29</f>
        <v>-318500</v>
      </c>
      <c r="F50" s="12" t="n">
        <f aca="false">扩张现金流!J29</f>
        <v>-306950</v>
      </c>
      <c r="G50" s="1"/>
      <c r="H50" s="1"/>
      <c r="I50" s="1"/>
      <c r="J50" s="1"/>
      <c r="K50" s="1"/>
      <c r="L50" s="1"/>
      <c r="M50" s="1"/>
    </row>
    <row r="51" customFormat="false" ht="24" hidden="false" customHeight="true" outlineLevel="0" collapsed="false">
      <c r="A51" s="1"/>
      <c r="B51" s="1"/>
      <c r="C51" s="1" t="s">
        <v>36</v>
      </c>
      <c r="D51" s="12" t="n">
        <f aca="false">保守现金流!K29</f>
        <v>-339925</v>
      </c>
      <c r="E51" s="12" t="n">
        <f aca="false">基准现金流!K29</f>
        <v>-324100</v>
      </c>
      <c r="F51" s="12" t="n">
        <f aca="false">扩张现金流!K29</f>
        <v>-304000</v>
      </c>
      <c r="G51" s="1"/>
      <c r="H51" s="1"/>
      <c r="I51" s="1"/>
      <c r="J51" s="1"/>
      <c r="K51" s="1"/>
      <c r="L51" s="1"/>
      <c r="M51" s="1"/>
    </row>
    <row r="52" customFormat="false" ht="24" hidden="false" customHeight="true" outlineLevel="0" collapsed="false">
      <c r="A52" s="1"/>
      <c r="B52" s="1"/>
      <c r="C52" s="1" t="s">
        <v>37</v>
      </c>
      <c r="D52" s="12" t="n">
        <f aca="false">保守现金流!L29</f>
        <v>-349800</v>
      </c>
      <c r="E52" s="12" t="n">
        <f aca="false">基准现金流!L29</f>
        <v>-326850</v>
      </c>
      <c r="F52" s="12" t="n">
        <f aca="false">扩张现金流!L29</f>
        <v>-295350</v>
      </c>
      <c r="G52" s="1"/>
      <c r="H52" s="1"/>
      <c r="I52" s="1"/>
      <c r="J52" s="1"/>
      <c r="K52" s="1"/>
      <c r="L52" s="1"/>
      <c r="M52" s="1"/>
    </row>
    <row r="53" customFormat="false" ht="24" hidden="false" customHeight="true" outlineLevel="0" collapsed="false">
      <c r="A53" s="1"/>
      <c r="B53" s="1"/>
      <c r="C53" s="1" t="s">
        <v>38</v>
      </c>
      <c r="D53" s="12" t="n">
        <f aca="false">保守现金流!M29</f>
        <v>-358250</v>
      </c>
      <c r="E53" s="12" t="n">
        <f aca="false">基准现金流!M29</f>
        <v>-326750</v>
      </c>
      <c r="F53" s="12" t="n">
        <f aca="false">扩张现金流!M29</f>
        <v>-281000</v>
      </c>
      <c r="G53" s="1"/>
      <c r="H53" s="1"/>
      <c r="I53" s="1"/>
      <c r="J53" s="1"/>
      <c r="K53" s="1"/>
      <c r="L53" s="1"/>
      <c r="M53" s="1"/>
    </row>
    <row r="54" customFormat="false" ht="24" hidden="false" customHeight="true" outlineLevel="0" collapsed="false">
      <c r="A54" s="1"/>
      <c r="B54" s="1"/>
      <c r="C54" s="1" t="s">
        <v>39</v>
      </c>
      <c r="D54" s="12" t="n">
        <f aca="false">保守现金流!N29</f>
        <v>-365275</v>
      </c>
      <c r="E54" s="12" t="n">
        <f aca="false">基准现金流!N29</f>
        <v>-323800</v>
      </c>
      <c r="F54" s="12" t="n">
        <f aca="false">扩张现金流!N29</f>
        <v>-260950</v>
      </c>
      <c r="G54" s="1"/>
      <c r="H54" s="1"/>
      <c r="I54" s="1"/>
      <c r="J54" s="1"/>
      <c r="K54" s="1"/>
      <c r="L54" s="1"/>
      <c r="M54" s="1"/>
    </row>
    <row r="55" customFormat="false" ht="24" hidden="false" customHeight="true" outlineLevel="0" collapsed="false">
      <c r="A55" s="1"/>
      <c r="B55" s="1"/>
      <c r="C55" s="1" t="s">
        <v>40</v>
      </c>
      <c r="D55" s="12" t="n">
        <f aca="false">保守现金流!O29</f>
        <v>-370875</v>
      </c>
      <c r="E55" s="12" t="n">
        <f aca="false">基准现金流!O29</f>
        <v>-318000</v>
      </c>
      <c r="F55" s="12" t="n">
        <f aca="false">扩张现金流!O29</f>
        <v>-235200</v>
      </c>
      <c r="G55" s="1"/>
      <c r="H55" s="1"/>
      <c r="I55" s="1"/>
      <c r="J55" s="1"/>
      <c r="K55" s="1"/>
      <c r="L55" s="1"/>
      <c r="M55" s="1"/>
    </row>
    <row r="56" customFormat="false" ht="24" hidden="false" customHeight="true" outlineLevel="0" collapsed="false">
      <c r="A56" s="1"/>
      <c r="B56" s="1"/>
      <c r="C56" s="1" t="s">
        <v>41</v>
      </c>
      <c r="D56" s="12" t="n">
        <f aca="false">保守现金流!P29</f>
        <v>-375050</v>
      </c>
      <c r="E56" s="12" t="n">
        <f aca="false">基准现金流!P29</f>
        <v>-309350</v>
      </c>
      <c r="F56" s="12" t="n">
        <f aca="false">扩张现金流!P29</f>
        <v>-203750</v>
      </c>
      <c r="G56" s="1"/>
      <c r="H56" s="1"/>
      <c r="I56" s="1"/>
      <c r="J56" s="1"/>
      <c r="K56" s="1"/>
      <c r="L56" s="1"/>
      <c r="M56" s="1"/>
    </row>
    <row r="57" customFormat="false" ht="24" hidden="false" customHeight="true" outlineLevel="0" collapsed="false">
      <c r="A57" s="1"/>
      <c r="B57" s="1"/>
      <c r="C57" s="1" t="s">
        <v>42</v>
      </c>
      <c r="D57" s="12" t="n">
        <f aca="false">保守现金流!Q29</f>
        <v>-377800</v>
      </c>
      <c r="E57" s="12" t="n">
        <f aca="false">基准现金流!Q29</f>
        <v>-297850</v>
      </c>
      <c r="F57" s="12" t="n">
        <f aca="false">扩张现金流!Q29</f>
        <v>-166600</v>
      </c>
      <c r="G57" s="1"/>
      <c r="H57" s="1"/>
      <c r="I57" s="1"/>
      <c r="J57" s="1"/>
      <c r="K57" s="1"/>
      <c r="L57" s="1"/>
      <c r="M57" s="1"/>
    </row>
    <row r="58" customFormat="false" ht="24" hidden="false" customHeight="true" outlineLevel="0" collapsed="false">
      <c r="A58" s="1"/>
      <c r="B58" s="1"/>
      <c r="C58" s="1" t="s">
        <v>43</v>
      </c>
      <c r="D58" s="12" t="n">
        <f aca="false">保守现金流!R29</f>
        <v>-380550</v>
      </c>
      <c r="E58" s="12" t="n">
        <f aca="false">基准现金流!R29</f>
        <v>-283500</v>
      </c>
      <c r="F58" s="12" t="n">
        <f aca="false">扩张现金流!R29</f>
        <v>-123750</v>
      </c>
      <c r="G58" s="1"/>
      <c r="H58" s="1"/>
      <c r="I58" s="1"/>
      <c r="J58" s="1"/>
      <c r="K58" s="1"/>
      <c r="L58" s="1"/>
      <c r="M58" s="1"/>
    </row>
    <row r="59" customFormat="false" ht="24" hidden="false" customHeight="true" outlineLevel="0" collapsed="false">
      <c r="A59" s="1"/>
      <c r="B59" s="1"/>
      <c r="C59" s="1" t="s">
        <v>44</v>
      </c>
      <c r="D59" s="12" t="n">
        <f aca="false">保守现金流!S29</f>
        <v>-381875</v>
      </c>
      <c r="E59" s="12" t="n">
        <f aca="false">基准现金流!S29</f>
        <v>-266300</v>
      </c>
      <c r="F59" s="12" t="n">
        <f aca="false">扩张现金流!S29</f>
        <v>-75200</v>
      </c>
      <c r="G59" s="1"/>
      <c r="H59" s="1"/>
      <c r="I59" s="1"/>
      <c r="J59" s="1"/>
      <c r="K59" s="1"/>
      <c r="L59" s="1"/>
      <c r="M59" s="1"/>
    </row>
    <row r="60" customFormat="false" ht="24" hidden="false" customHeight="true" outlineLevel="0" collapsed="false">
      <c r="A60" s="1"/>
      <c r="B60" s="1"/>
      <c r="C60" s="1" t="s">
        <v>45</v>
      </c>
      <c r="D60" s="12" t="n">
        <f aca="false">保守现金流!T29</f>
        <v>-383200</v>
      </c>
      <c r="E60" s="12" t="n">
        <f aca="false">基准现金流!T29</f>
        <v>-246250</v>
      </c>
      <c r="F60" s="12" t="n">
        <f aca="false">扩张现金流!T29</f>
        <v>-20950</v>
      </c>
      <c r="G60" s="1"/>
      <c r="H60" s="1"/>
      <c r="I60" s="1"/>
      <c r="J60" s="1"/>
      <c r="K60" s="1"/>
      <c r="L60" s="1"/>
      <c r="M60" s="1"/>
    </row>
    <row r="61" customFormat="false" ht="24" hidden="false" customHeight="true" outlineLevel="0" collapsed="false">
      <c r="A61" s="1"/>
      <c r="B61" s="1"/>
      <c r="C61" s="1" t="s">
        <v>46</v>
      </c>
      <c r="D61" s="12" t="n">
        <f aca="false">保守现金流!U29</f>
        <v>-383100</v>
      </c>
      <c r="E61" s="12" t="n">
        <f aca="false">基准现金流!U29</f>
        <v>-223350</v>
      </c>
      <c r="F61" s="12" t="n">
        <f aca="false">扩张现金流!U29</f>
        <v>40425</v>
      </c>
      <c r="G61" s="1"/>
      <c r="H61" s="1"/>
      <c r="I61" s="1"/>
      <c r="J61" s="1"/>
      <c r="K61" s="1"/>
      <c r="L61" s="1"/>
      <c r="M61" s="1"/>
    </row>
    <row r="62" customFormat="false" ht="24" hidden="false" customHeight="true" outlineLevel="0" collapsed="false">
      <c r="A62" s="1"/>
      <c r="B62" s="1"/>
      <c r="C62" s="1" t="s">
        <v>47</v>
      </c>
      <c r="D62" s="12" t="n">
        <f aca="false">保守现金流!V29</f>
        <v>-383000</v>
      </c>
      <c r="E62" s="12" t="n">
        <f aca="false">基准现金流!V29</f>
        <v>-197600</v>
      </c>
      <c r="F62" s="12" t="n">
        <f aca="false">扩张现金流!V29</f>
        <v>108925</v>
      </c>
      <c r="G62" s="1"/>
      <c r="H62" s="1"/>
      <c r="I62" s="1"/>
      <c r="J62" s="1"/>
      <c r="K62" s="1"/>
      <c r="L62" s="1"/>
      <c r="M62" s="1"/>
    </row>
    <row r="63" customFormat="false" ht="24" hidden="false" customHeight="true" outlineLevel="0" collapsed="false">
      <c r="A63" s="1"/>
      <c r="B63" s="1"/>
      <c r="C63" s="1" t="s">
        <v>48</v>
      </c>
      <c r="D63" s="12" t="n">
        <f aca="false">保守现金流!W29</f>
        <v>-382900</v>
      </c>
      <c r="E63" s="12" t="n">
        <f aca="false">基准现金流!W29</f>
        <v>-169000</v>
      </c>
      <c r="F63" s="12" t="n">
        <f aca="false">扩张现金流!W29</f>
        <v>184550</v>
      </c>
      <c r="G63" s="1"/>
      <c r="H63" s="1"/>
      <c r="I63" s="1"/>
      <c r="J63" s="1"/>
      <c r="K63" s="1"/>
      <c r="L63" s="1"/>
      <c r="M63" s="1"/>
    </row>
    <row r="64" customFormat="false" ht="24" hidden="false" customHeight="true" outlineLevel="0" collapsed="false">
      <c r="A64" s="1"/>
      <c r="B64" s="1"/>
      <c r="C64" s="1" t="s">
        <v>49</v>
      </c>
      <c r="D64" s="12" t="n">
        <f aca="false">保守现金流!X29</f>
        <v>-381375</v>
      </c>
      <c r="E64" s="12" t="n">
        <f aca="false">基准现金流!X29</f>
        <v>-137550</v>
      </c>
      <c r="F64" s="12" t="n">
        <f aca="false">扩张现金流!X29</f>
        <v>267300</v>
      </c>
      <c r="G64" s="1"/>
      <c r="H64" s="1"/>
      <c r="I64" s="1"/>
      <c r="J64" s="1"/>
      <c r="K64" s="1"/>
      <c r="L64" s="1"/>
      <c r="M64" s="1"/>
    </row>
    <row r="65" customFormat="false" ht="24" hidden="false" customHeight="true" outlineLevel="0" collapsed="false">
      <c r="A65" s="1"/>
      <c r="B65" s="1"/>
      <c r="C65" s="1" t="s">
        <v>50</v>
      </c>
      <c r="D65" s="12" t="n">
        <f aca="false">保守现金流!Y29</f>
        <v>-379850</v>
      </c>
      <c r="E65" s="12" t="n">
        <f aca="false">基准现金流!Y29</f>
        <v>-103250</v>
      </c>
      <c r="F65" s="12" t="n">
        <f aca="false">扩张现金流!Y29</f>
        <v>357175</v>
      </c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C66" s="0" t="s">
        <v>51</v>
      </c>
      <c r="D66" s="13" t="n">
        <f aca="false">保守现金流!Z29</f>
        <v>-378325</v>
      </c>
      <c r="E66" s="13" t="n">
        <f aca="false">基准现金流!Z29</f>
        <v>-66100</v>
      </c>
      <c r="F66" s="13" t="n">
        <f aca="false">扩张现金流!Z29</f>
        <v>454175</v>
      </c>
    </row>
    <row r="67" customFormat="false" ht="15" hidden="false" customHeight="false" outlineLevel="0" collapsed="false">
      <c r="C67" s="0" t="s">
        <v>52</v>
      </c>
      <c r="D67" s="13" t="n">
        <f aca="false">保守现金流!AA29</f>
        <v>-375375</v>
      </c>
      <c r="E67" s="13" t="n">
        <f aca="false">基准现金流!AA29</f>
        <v>-26100</v>
      </c>
      <c r="F67" s="13" t="n">
        <f aca="false">扩张现金流!AA29</f>
        <v>558300</v>
      </c>
    </row>
    <row r="68" customFormat="false" ht="15" hidden="false" customHeight="false" outlineLevel="0" collapsed="false">
      <c r="C68" s="0" t="s">
        <v>53</v>
      </c>
      <c r="D68" s="13" t="n">
        <f aca="false">保守现金流!AB29</f>
        <v>-372425</v>
      </c>
      <c r="E68" s="13" t="n">
        <f aca="false">基准现金流!AB29</f>
        <v>16750</v>
      </c>
      <c r="F68" s="13" t="n">
        <f aca="false">扩张现金流!AB29</f>
        <v>669550</v>
      </c>
    </row>
    <row r="69" customFormat="false" ht="15" hidden="false" customHeight="false" outlineLevel="0" collapsed="false">
      <c r="C69" s="0" t="s">
        <v>54</v>
      </c>
      <c r="D69" s="13" t="n">
        <f aca="false">保守现金流!AC29</f>
        <v>-369475</v>
      </c>
      <c r="E69" s="13" t="n">
        <f aca="false">基准现金流!AC29</f>
        <v>62450</v>
      </c>
      <c r="F69" s="13" t="n">
        <f aca="false">扩张现金流!AC29</f>
        <v>787925</v>
      </c>
    </row>
    <row r="70" customFormat="false" ht="15" hidden="false" customHeight="false" outlineLevel="0" collapsed="false">
      <c r="C70" s="0" t="s">
        <v>55</v>
      </c>
      <c r="D70" s="13" t="n">
        <f aca="false">保守现金流!AD29</f>
        <v>-365100</v>
      </c>
      <c r="E70" s="13" t="n">
        <f aca="false">基准现金流!AD29</f>
        <v>111000</v>
      </c>
      <c r="F70" s="13" t="n">
        <f aca="false">扩张现金流!AD29</f>
        <v>913425</v>
      </c>
    </row>
    <row r="71" customFormat="false" ht="15" hidden="false" customHeight="false" outlineLevel="0" collapsed="false">
      <c r="C71" s="0" t="s">
        <v>56</v>
      </c>
      <c r="D71" s="13" t="n">
        <f aca="false">保守现金流!AE29</f>
        <v>-360725</v>
      </c>
      <c r="E71" s="13" t="n">
        <f aca="false">基准现金流!AE29</f>
        <v>162400</v>
      </c>
      <c r="F71" s="13" t="n">
        <f aca="false">扩张现金流!AE29</f>
        <v>1046050</v>
      </c>
    </row>
    <row r="72" customFormat="false" ht="15" hidden="false" customHeight="false" outlineLevel="0" collapsed="false">
      <c r="C72" s="0" t="s">
        <v>57</v>
      </c>
      <c r="D72" s="13" t="n">
        <f aca="false">保守现金流!AF29</f>
        <v>-356350</v>
      </c>
      <c r="E72" s="13" t="n">
        <f aca="false">基准现金流!AF29</f>
        <v>216650</v>
      </c>
      <c r="F72" s="13" t="n">
        <f aca="false">扩张现金流!AF29</f>
        <v>1185800</v>
      </c>
    </row>
    <row r="73" customFormat="false" ht="15" hidden="false" customHeight="false" outlineLevel="0" collapsed="false">
      <c r="C73" s="0" t="s">
        <v>58</v>
      </c>
      <c r="D73" s="13" t="n">
        <f aca="false">保守现金流!AG29</f>
        <v>-351975</v>
      </c>
      <c r="E73" s="13" t="n">
        <f aca="false">基准现金流!AG29</f>
        <v>270900</v>
      </c>
      <c r="F73" s="13" t="n">
        <f aca="false">扩张现金流!AG29</f>
        <v>1332675</v>
      </c>
    </row>
    <row r="74" customFormat="false" ht="15" hidden="false" customHeight="false" outlineLevel="0" collapsed="false">
      <c r="C74" s="0" t="s">
        <v>59</v>
      </c>
      <c r="D74" s="13" t="n">
        <f aca="false">保守现金流!AH29</f>
        <v>-347600</v>
      </c>
      <c r="E74" s="13" t="n">
        <f aca="false">基准现金流!AH29</f>
        <v>325150</v>
      </c>
      <c r="F74" s="13" t="n">
        <f aca="false">扩张现金流!AH29</f>
        <v>1486675</v>
      </c>
    </row>
    <row r="75" customFormat="false" ht="15" hidden="false" customHeight="false" outlineLevel="0" collapsed="false">
      <c r="C75" s="0" t="s">
        <v>60</v>
      </c>
      <c r="D75" s="13" t="n">
        <f aca="false">保守现金流!AI29</f>
        <v>-343225</v>
      </c>
      <c r="E75" s="13" t="n">
        <f aca="false">基准现金流!AI29</f>
        <v>379400</v>
      </c>
      <c r="F75" s="13" t="n">
        <f aca="false">扩张现金流!AI29</f>
        <v>1640675</v>
      </c>
    </row>
    <row r="76" customFormat="false" ht="15" hidden="false" customHeight="false" outlineLevel="0" collapsed="false">
      <c r="C76" s="0" t="s">
        <v>61</v>
      </c>
      <c r="D76" s="13" t="n">
        <f aca="false">保守现金流!AJ29</f>
        <v>-338850</v>
      </c>
      <c r="E76" s="13" t="n">
        <f aca="false">基准现金流!AJ29</f>
        <v>433650</v>
      </c>
      <c r="F76" s="13" t="n">
        <f aca="false">扩张现金流!AJ29</f>
        <v>1794675</v>
      </c>
    </row>
    <row r="77" customFormat="false" ht="15" hidden="false" customHeight="false" outlineLevel="0" collapsed="false">
      <c r="C77" s="0" t="s">
        <v>62</v>
      </c>
      <c r="D77" s="13" t="n">
        <f aca="false">保守现金流!AK29</f>
        <v>-334475</v>
      </c>
      <c r="E77" s="13" t="n">
        <f aca="false">基准现金流!AK29</f>
        <v>487900</v>
      </c>
      <c r="F77" s="13" t="n">
        <f aca="false">扩张现金流!AK29</f>
        <v>1948675</v>
      </c>
    </row>
    <row r="78" customFormat="false" ht="15" hidden="false" customHeight="false" outlineLevel="0" collapsed="false">
      <c r="C78" s="0" t="s">
        <v>63</v>
      </c>
      <c r="D78" s="13" t="n">
        <f aca="false">保守现金流!AL29</f>
        <v>-330100</v>
      </c>
      <c r="E78" s="13" t="n">
        <f aca="false">基准现金流!AL29</f>
        <v>542150</v>
      </c>
      <c r="F78" s="13" t="n">
        <f aca="false">扩张现金流!AL29</f>
        <v>2102675</v>
      </c>
    </row>
    <row r="79" customFormat="false" ht="15" hidden="false" customHeight="false" outlineLevel="0" collapsed="false">
      <c r="C79" s="0" t="s">
        <v>64</v>
      </c>
      <c r="D79" s="13" t="n">
        <f aca="false">保守现金流!AM29</f>
        <v>-325725</v>
      </c>
      <c r="E79" s="13" t="n">
        <f aca="false">基准现金流!AM29</f>
        <v>596400</v>
      </c>
      <c r="F79" s="13" t="n">
        <f aca="false">扩张现金流!AM29</f>
        <v>2256675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18A32"/>
    <pageSetUpPr fitToPage="false"/>
  </sheetPr>
  <dimension ref="A1:A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" min="4" style="0" width="17"/>
    <col collapsed="false" customWidth="true" hidden="false" outlineLevel="0" max="5" min="5" style="0" width="87"/>
    <col collapsed="false" customWidth="true" hidden="false" outlineLevel="0" max="40" min="6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24" hidden="false" customHeight="true" outlineLevel="0" collapsed="false">
      <c r="A2" s="1"/>
      <c r="B2" s="1"/>
      <c r="C2" s="4" t="s">
        <v>65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24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customFormat="false" ht="29" hidden="false" customHeight="true" outlineLevel="0" collapsed="false">
      <c r="A5" s="1"/>
      <c r="B5" s="1"/>
      <c r="C5" s="6" t="s">
        <v>66</v>
      </c>
      <c r="D5" s="7" t="s">
        <v>15</v>
      </c>
      <c r="E5" s="7" t="s">
        <v>67</v>
      </c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Format="false" ht="24" hidden="false" customHeight="true" outlineLevel="0" collapsed="false">
      <c r="A6" s="1"/>
      <c r="B6" s="1"/>
      <c r="C6" s="8" t="s">
        <v>68</v>
      </c>
      <c r="D6" s="14" t="n">
        <v>10000</v>
      </c>
      <c r="E6" s="2" t="s">
        <v>69</v>
      </c>
      <c r="F6" s="2"/>
      <c r="G6" s="2"/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Format="false" ht="24" hidden="false" customHeight="true" outlineLevel="0" collapsed="false">
      <c r="A7" s="1"/>
      <c r="B7" s="1"/>
      <c r="C7" s="8" t="s">
        <v>70</v>
      </c>
      <c r="D7" s="15" t="n">
        <v>0.15</v>
      </c>
      <c r="E7" s="16" t="s">
        <v>71</v>
      </c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customFormat="false" ht="24" hidden="false" customHeight="true" outlineLevel="0" collapsed="false">
      <c r="A8" s="1"/>
      <c r="B8" s="1"/>
      <c r="C8" s="8" t="s">
        <v>72</v>
      </c>
      <c r="D8" s="14" t="n">
        <v>5</v>
      </c>
      <c r="E8" s="2" t="s">
        <v>73</v>
      </c>
      <c r="F8" s="2"/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customFormat="false" ht="24" hidden="false" customHeight="true" outlineLevel="0" collapsed="false">
      <c r="A9" s="1"/>
      <c r="B9" s="1"/>
      <c r="C9" s="8" t="s">
        <v>74</v>
      </c>
      <c r="D9" s="17" t="n">
        <f aca="false">D46*D47/60*D48</f>
        <v>300</v>
      </c>
      <c r="E9" s="16" t="s">
        <v>75</v>
      </c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customFormat="false" ht="24" hidden="false" customHeight="true" outlineLevel="0" collapsed="false">
      <c r="A10" s="1"/>
      <c r="B10" s="1"/>
      <c r="C10" s="8" t="s">
        <v>76</v>
      </c>
      <c r="D10" s="14" t="n">
        <v>100</v>
      </c>
      <c r="E10" s="2" t="s">
        <v>77</v>
      </c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customFormat="false" ht="24" hidden="false" customHeight="true" outlineLevel="0" collapsed="false">
      <c r="A11" s="1"/>
      <c r="B11" s="1"/>
      <c r="C11" s="8" t="s">
        <v>78</v>
      </c>
      <c r="D11" s="17" t="n">
        <f aca="false">IF(D49=0,D53,D6*(1+D7)*D50+D51)</f>
        <v>150</v>
      </c>
      <c r="E11" s="2" t="s">
        <v>79</v>
      </c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customFormat="false" ht="24" hidden="false" customHeight="true" outlineLevel="0" collapsed="false">
      <c r="A12" s="1"/>
      <c r="B12" s="1"/>
      <c r="C12" s="8" t="s">
        <v>80</v>
      </c>
      <c r="D12" s="14" t="n">
        <v>50</v>
      </c>
      <c r="E12" s="2" t="s">
        <v>77</v>
      </c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customFormat="false" ht="24" hidden="false" customHeight="true" outlineLevel="0" collapsed="false">
      <c r="A13" s="1"/>
      <c r="B13" s="1"/>
      <c r="C13" s="8" t="s">
        <v>81</v>
      </c>
      <c r="D13" s="14" t="n">
        <v>150</v>
      </c>
      <c r="E13" s="2" t="s">
        <v>82</v>
      </c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customFormat="false" ht="24" hidden="false" customHeight="true" outlineLevel="0" collapsed="false">
      <c r="A14" s="1"/>
      <c r="B14" s="1"/>
      <c r="C14" s="8" t="s">
        <v>83</v>
      </c>
      <c r="D14" s="14" t="n">
        <v>2000</v>
      </c>
      <c r="E14" s="2" t="s">
        <v>84</v>
      </c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customFormat="false" ht="24" hidden="false" customHeight="true" outlineLevel="0" collapsed="false">
      <c r="A15" s="1"/>
      <c r="B15" s="1"/>
      <c r="C15" s="8" t="s">
        <v>85</v>
      </c>
      <c r="D15" s="14" t="n">
        <v>15000</v>
      </c>
      <c r="E15" s="2" t="s">
        <v>86</v>
      </c>
      <c r="F15" s="2"/>
      <c r="G15" s="2"/>
      <c r="H15" s="2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customFormat="false" ht="24" hidden="false" customHeight="true" outlineLevel="0" collapsed="false">
      <c r="A16" s="1"/>
      <c r="B16" s="1"/>
      <c r="C16" s="8" t="s">
        <v>87</v>
      </c>
      <c r="D16" s="14" t="n">
        <v>189750</v>
      </c>
      <c r="E16" s="2" t="s">
        <v>88</v>
      </c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customFormat="false" ht="24" hidden="false" customHeight="true" outlineLevel="0" collapsed="false">
      <c r="A17" s="1"/>
      <c r="B17" s="1"/>
      <c r="C17" s="8" t="s">
        <v>89</v>
      </c>
      <c r="D17" s="14" t="n">
        <v>0</v>
      </c>
      <c r="E17" s="16" t="s">
        <v>90</v>
      </c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customFormat="false" ht="24" hidden="false" customHeight="true" outlineLevel="0" collapsed="false">
      <c r="A18" s="1"/>
      <c r="B18" s="1"/>
      <c r="C18" s="8" t="s">
        <v>91</v>
      </c>
      <c r="D18" s="14" t="n">
        <v>12000</v>
      </c>
      <c r="E18" s="2" t="s">
        <v>92</v>
      </c>
      <c r="F18" s="2"/>
      <c r="G18" s="2"/>
      <c r="H18" s="2"/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customFormat="false" ht="24" hidden="false" customHeight="true" outlineLevel="0" collapsed="false">
      <c r="A19" s="1"/>
      <c r="B19" s="1"/>
      <c r="C19" s="8" t="s">
        <v>93</v>
      </c>
      <c r="D19" s="14" t="n">
        <v>50000</v>
      </c>
      <c r="E19" s="2" t="s">
        <v>94</v>
      </c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customFormat="false" ht="24" hidden="false" customHeight="true" outlineLevel="0" collapsed="false">
      <c r="A20" s="1"/>
      <c r="B20" s="1"/>
      <c r="C20" s="8" t="s">
        <v>95</v>
      </c>
      <c r="D20" s="14" t="n">
        <v>1500</v>
      </c>
      <c r="E20" s="2" t="s">
        <v>96</v>
      </c>
      <c r="F20" s="2"/>
      <c r="G20" s="2"/>
      <c r="H20" s="2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customFormat="false" ht="24" hidden="false" customHeight="true" outlineLevel="0" collapsed="false">
      <c r="A21" s="1"/>
      <c r="B21" s="1"/>
      <c r="C21" s="8" t="s">
        <v>97</v>
      </c>
      <c r="D21" s="14" t="n">
        <v>2</v>
      </c>
      <c r="E21" s="16" t="s">
        <v>98</v>
      </c>
      <c r="F21" s="2"/>
      <c r="G21" s="2"/>
      <c r="H21" s="2"/>
      <c r="I21" s="2"/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customFormat="false" ht="24" hidden="false" customHeight="true" outlineLevel="0" collapsed="false">
      <c r="A22" s="1"/>
      <c r="B22" s="1"/>
      <c r="C22" s="8" t="s">
        <v>99</v>
      </c>
      <c r="D22" s="15" t="n">
        <v>0.05</v>
      </c>
      <c r="E22" s="16" t="s">
        <v>100</v>
      </c>
      <c r="F22" s="2"/>
      <c r="G22" s="2"/>
      <c r="H22" s="2"/>
      <c r="I22" s="2"/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customFormat="false" ht="24" hidden="false" customHeight="true" outlineLevel="0" collapsed="false">
      <c r="A23" s="1"/>
      <c r="B23" s="1"/>
      <c r="C23" s="8" t="s">
        <v>101</v>
      </c>
      <c r="D23" s="14" t="n">
        <v>0</v>
      </c>
      <c r="E23" s="2" t="s">
        <v>102</v>
      </c>
      <c r="F23" s="2"/>
      <c r="G23" s="2"/>
      <c r="H23" s="2"/>
      <c r="I23" s="2"/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24" hidden="false" customHeight="true" outlineLevel="0" collapsed="false">
      <c r="A24" s="1"/>
      <c r="B24" s="1"/>
      <c r="C24" s="8" t="s">
        <v>103</v>
      </c>
      <c r="D24" s="14" t="n">
        <v>20</v>
      </c>
      <c r="E24" s="16" t="s">
        <v>104</v>
      </c>
      <c r="F24" s="2"/>
      <c r="G24" s="2"/>
      <c r="H24" s="2"/>
      <c r="I24" s="2"/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customFormat="false" ht="24" hidden="false" customHeight="true" outlineLevel="0" collapsed="false">
      <c r="A25" s="1"/>
      <c r="B25" s="1"/>
      <c r="C25" s="8" t="s">
        <v>105</v>
      </c>
      <c r="D25" s="14" t="n">
        <v>4</v>
      </c>
      <c r="E25" s="2" t="s">
        <v>106</v>
      </c>
      <c r="F25" s="2"/>
      <c r="G25" s="2"/>
      <c r="H25" s="2"/>
      <c r="I25" s="2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customFormat="false" ht="24" hidden="false" customHeight="true" outlineLevel="0" collapsed="false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24" hidden="false" customHeight="true" outlineLevel="0" collapsed="false">
      <c r="A27" s="1"/>
      <c r="B27" s="1"/>
      <c r="C27" s="5" t="s">
        <v>107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24" hidden="false" customHeight="true" outlineLevel="0" collapsed="false">
      <c r="A28" s="1"/>
      <c r="B28" s="1"/>
      <c r="C28" s="5" t="s">
        <v>108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customFormat="false" ht="24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customFormat="false" ht="24" hidden="false" customHeight="true" outlineLevel="0" collapsed="false">
      <c r="A30" s="1"/>
      <c r="B30" s="1"/>
      <c r="C30" s="1"/>
      <c r="D30" s="14" t="n">
        <v>1</v>
      </c>
      <c r="E30" s="14" t="n">
        <v>2</v>
      </c>
      <c r="F30" s="14" t="n">
        <v>3</v>
      </c>
      <c r="G30" s="14" t="n">
        <v>4</v>
      </c>
      <c r="H30" s="14" t="n">
        <v>5</v>
      </c>
      <c r="I30" s="14" t="n">
        <v>6</v>
      </c>
      <c r="J30" s="14" t="n">
        <v>7</v>
      </c>
      <c r="K30" s="14" t="n">
        <v>8</v>
      </c>
      <c r="L30" s="14" t="n">
        <v>9</v>
      </c>
      <c r="M30" s="14" t="n">
        <v>10</v>
      </c>
      <c r="N30" s="18" t="n">
        <v>11</v>
      </c>
      <c r="O30" s="18" t="n">
        <v>12</v>
      </c>
      <c r="P30" s="18" t="n">
        <v>13</v>
      </c>
      <c r="Q30" s="18" t="n">
        <v>14</v>
      </c>
      <c r="R30" s="18" t="n">
        <v>15</v>
      </c>
      <c r="S30" s="18" t="n">
        <v>16</v>
      </c>
      <c r="T30" s="18" t="n">
        <v>17</v>
      </c>
      <c r="U30" s="18" t="n">
        <v>18</v>
      </c>
      <c r="V30" s="18" t="n">
        <v>19</v>
      </c>
      <c r="W30" s="18" t="n">
        <v>20</v>
      </c>
      <c r="X30" s="18" t="n">
        <v>21</v>
      </c>
      <c r="Y30" s="18" t="n">
        <v>22</v>
      </c>
      <c r="Z30" s="18" t="n">
        <v>23</v>
      </c>
      <c r="AA30" s="18" t="n">
        <v>24</v>
      </c>
      <c r="AB30" s="18" t="n">
        <v>25</v>
      </c>
      <c r="AC30" s="18" t="n">
        <v>26</v>
      </c>
      <c r="AD30" s="18" t="n">
        <v>27</v>
      </c>
      <c r="AE30" s="18" t="n">
        <v>28</v>
      </c>
      <c r="AF30" s="18" t="n">
        <v>29</v>
      </c>
      <c r="AG30" s="18" t="n">
        <v>30</v>
      </c>
      <c r="AH30" s="18" t="n">
        <v>31</v>
      </c>
      <c r="AI30" s="18" t="n">
        <v>32</v>
      </c>
      <c r="AJ30" s="18" t="n">
        <v>33</v>
      </c>
      <c r="AK30" s="18" t="n">
        <v>34</v>
      </c>
      <c r="AL30" s="18" t="n">
        <v>35</v>
      </c>
      <c r="AM30" s="18" t="n">
        <v>36</v>
      </c>
      <c r="AN30" s="3"/>
    </row>
    <row r="31" customFormat="false" ht="24" hidden="false" customHeight="true" outlineLevel="0" collapsed="false">
      <c r="A31" s="1"/>
      <c r="B31" s="1"/>
      <c r="C31" s="8" t="s">
        <v>109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4</v>
      </c>
      <c r="I31" s="14" t="n">
        <v>6</v>
      </c>
      <c r="J31" s="14" t="n">
        <v>8</v>
      </c>
      <c r="K31" s="14" t="n">
        <v>10</v>
      </c>
      <c r="L31" s="14" t="n">
        <v>12</v>
      </c>
      <c r="M31" s="14" t="n">
        <v>14</v>
      </c>
      <c r="N31" s="18" t="n">
        <v>16</v>
      </c>
      <c r="O31" s="18" t="n">
        <v>18</v>
      </c>
      <c r="P31" s="18" t="n">
        <v>20</v>
      </c>
      <c r="Q31" s="18" t="n">
        <v>20</v>
      </c>
      <c r="R31" s="18" t="n">
        <v>22</v>
      </c>
      <c r="S31" s="18" t="n">
        <v>22</v>
      </c>
      <c r="T31" s="18" t="n">
        <v>24</v>
      </c>
      <c r="U31" s="18" t="n">
        <v>24</v>
      </c>
      <c r="V31" s="18" t="n">
        <v>24</v>
      </c>
      <c r="W31" s="18" t="n">
        <v>26</v>
      </c>
      <c r="X31" s="18" t="n">
        <v>26</v>
      </c>
      <c r="Y31" s="18" t="n">
        <v>26</v>
      </c>
      <c r="Z31" s="18" t="n">
        <v>28</v>
      </c>
      <c r="AA31" s="18" t="n">
        <v>28</v>
      </c>
      <c r="AB31" s="18" t="n">
        <v>28</v>
      </c>
      <c r="AC31" s="18" t="n">
        <v>30</v>
      </c>
      <c r="AD31" s="18" t="n">
        <v>30</v>
      </c>
      <c r="AE31" s="18" t="n">
        <v>30</v>
      </c>
      <c r="AF31" s="18" t="n">
        <v>30</v>
      </c>
      <c r="AG31" s="18" t="n">
        <v>30</v>
      </c>
      <c r="AH31" s="18" t="n">
        <v>30</v>
      </c>
      <c r="AI31" s="18" t="n">
        <v>30</v>
      </c>
      <c r="AJ31" s="18" t="n">
        <v>30</v>
      </c>
      <c r="AK31" s="18" t="n">
        <v>30</v>
      </c>
      <c r="AL31" s="18" t="n">
        <v>30</v>
      </c>
      <c r="AM31" s="18" t="n">
        <v>30</v>
      </c>
      <c r="AN31" s="3"/>
    </row>
    <row r="32" customFormat="false" ht="24" hidden="false" customHeight="true" outlineLevel="0" collapsed="false">
      <c r="A32" s="1"/>
      <c r="B32" s="1"/>
      <c r="C32" s="8" t="s">
        <v>110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8</v>
      </c>
      <c r="I32" s="14" t="n">
        <v>12</v>
      </c>
      <c r="J32" s="14" t="n">
        <v>16</v>
      </c>
      <c r="K32" s="14" t="n">
        <v>20</v>
      </c>
      <c r="L32" s="14" t="n">
        <v>24</v>
      </c>
      <c r="M32" s="14" t="n">
        <v>28</v>
      </c>
      <c r="N32" s="18" t="n">
        <v>32</v>
      </c>
      <c r="O32" s="18" t="n">
        <v>36</v>
      </c>
      <c r="P32" s="18" t="n">
        <v>40</v>
      </c>
      <c r="Q32" s="18" t="n">
        <v>44</v>
      </c>
      <c r="R32" s="18" t="n">
        <v>48</v>
      </c>
      <c r="S32" s="18" t="n">
        <v>52</v>
      </c>
      <c r="T32" s="18" t="n">
        <v>56</v>
      </c>
      <c r="U32" s="18" t="n">
        <v>60</v>
      </c>
      <c r="V32" s="18" t="n">
        <v>64</v>
      </c>
      <c r="W32" s="18" t="n">
        <v>68</v>
      </c>
      <c r="X32" s="18" t="n">
        <v>72</v>
      </c>
      <c r="Y32" s="18" t="n">
        <v>76</v>
      </c>
      <c r="Z32" s="18" t="n">
        <v>80</v>
      </c>
      <c r="AA32" s="18" t="n">
        <v>84</v>
      </c>
      <c r="AB32" s="18" t="n">
        <v>88</v>
      </c>
      <c r="AC32" s="18" t="n">
        <v>92</v>
      </c>
      <c r="AD32" s="18" t="n">
        <v>96</v>
      </c>
      <c r="AE32" s="18" t="n">
        <v>100</v>
      </c>
      <c r="AF32" s="18" t="n">
        <v>100</v>
      </c>
      <c r="AG32" s="18" t="n">
        <v>100</v>
      </c>
      <c r="AH32" s="18" t="n">
        <v>100</v>
      </c>
      <c r="AI32" s="18" t="n">
        <v>100</v>
      </c>
      <c r="AJ32" s="18" t="n">
        <v>100</v>
      </c>
      <c r="AK32" s="18" t="n">
        <v>100</v>
      </c>
      <c r="AL32" s="18" t="n">
        <v>100</v>
      </c>
      <c r="AM32" s="18" t="n">
        <v>100</v>
      </c>
      <c r="AN32" s="3"/>
    </row>
    <row r="33" customFormat="false" ht="24" hidden="false" customHeight="true" outlineLevel="0" collapsed="false">
      <c r="A33" s="1"/>
      <c r="B33" s="1"/>
      <c r="C33" s="8" t="s">
        <v>111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12</v>
      </c>
      <c r="I33" s="14" t="n">
        <v>20</v>
      </c>
      <c r="J33" s="14" t="n">
        <v>28</v>
      </c>
      <c r="K33" s="14" t="n">
        <v>36</v>
      </c>
      <c r="L33" s="14" t="n">
        <v>44</v>
      </c>
      <c r="M33" s="14" t="n">
        <v>52</v>
      </c>
      <c r="N33" s="18" t="n">
        <v>60</v>
      </c>
      <c r="O33" s="18" t="n">
        <v>68</v>
      </c>
      <c r="P33" s="18" t="n">
        <v>76</v>
      </c>
      <c r="Q33" s="18" t="n">
        <v>84</v>
      </c>
      <c r="R33" s="18" t="n">
        <v>92</v>
      </c>
      <c r="S33" s="18" t="n">
        <v>100</v>
      </c>
      <c r="T33" s="18" t="n">
        <v>110</v>
      </c>
      <c r="U33" s="18" t="n">
        <v>120</v>
      </c>
      <c r="V33" s="18" t="n">
        <v>130</v>
      </c>
      <c r="W33" s="18" t="n">
        <v>140</v>
      </c>
      <c r="X33" s="18" t="n">
        <v>150</v>
      </c>
      <c r="Y33" s="18" t="n">
        <v>160</v>
      </c>
      <c r="Z33" s="18" t="n">
        <v>170</v>
      </c>
      <c r="AA33" s="18" t="n">
        <v>180</v>
      </c>
      <c r="AB33" s="18" t="n">
        <v>190</v>
      </c>
      <c r="AC33" s="18" t="n">
        <v>200</v>
      </c>
      <c r="AD33" s="18" t="n">
        <v>210</v>
      </c>
      <c r="AE33" s="18" t="n">
        <v>220</v>
      </c>
      <c r="AF33" s="18" t="n">
        <v>230</v>
      </c>
      <c r="AG33" s="18" t="n">
        <v>240</v>
      </c>
      <c r="AH33" s="18" t="n">
        <v>240</v>
      </c>
      <c r="AI33" s="18" t="n">
        <v>240</v>
      </c>
      <c r="AJ33" s="18" t="n">
        <v>240</v>
      </c>
      <c r="AK33" s="18" t="n">
        <v>240</v>
      </c>
      <c r="AL33" s="18" t="n">
        <v>240</v>
      </c>
      <c r="AM33" s="18" t="n">
        <v>240</v>
      </c>
      <c r="AN33" s="3"/>
    </row>
    <row r="34" customFormat="false" ht="24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customFormat="false" ht="24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customFormat="false" ht="24" hidden="false" customHeight="true" outlineLevel="0" collapsed="false">
      <c r="A36" s="1"/>
      <c r="B36" s="1"/>
      <c r="C36" s="5" t="s">
        <v>112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customFormat="false" ht="24" hidden="false" customHeight="true" outlineLevel="0" collapsed="false">
      <c r="A37" s="1"/>
      <c r="B37" s="1"/>
      <c r="C37" s="5" t="s">
        <v>113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customFormat="false" ht="24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customFormat="false" ht="24" hidden="false" customHeight="true" outlineLevel="0" collapsed="false">
      <c r="A39" s="1"/>
      <c r="B39" s="1"/>
      <c r="C39" s="5" t="s">
        <v>114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customFormat="false" ht="24" hidden="false" customHeight="true" outlineLevel="0" collapsed="false">
      <c r="A40" s="1"/>
      <c r="B40" s="1"/>
      <c r="C40" s="1" t="s">
        <v>115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customFormat="false" ht="24" hidden="false" customHeight="true" outlineLevel="0" collapsed="false">
      <c r="A41" s="1"/>
      <c r="B41" s="1"/>
      <c r="C41" s="1" t="s">
        <v>116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customFormat="false" ht="24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customFormat="false" ht="24" hidden="false" customHeight="true" outlineLevel="0" collapsed="false">
      <c r="A43" s="1"/>
      <c r="B43" s="1"/>
      <c r="C43" s="5" t="s">
        <v>117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customFormat="false" ht="24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customFormat="false" ht="29" hidden="false" customHeight="true" outlineLevel="0" collapsed="false">
      <c r="A45" s="1"/>
      <c r="B45" s="1"/>
      <c r="C45" s="6" t="s">
        <v>118</v>
      </c>
      <c r="D45" s="7" t="s">
        <v>15</v>
      </c>
      <c r="E45" s="7" t="s">
        <v>67</v>
      </c>
      <c r="F45" s="2"/>
      <c r="G45" s="2"/>
      <c r="H45" s="2"/>
      <c r="I45" s="2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customFormat="false" ht="24" hidden="false" customHeight="true" outlineLevel="0" collapsed="false">
      <c r="A46" s="1"/>
      <c r="B46" s="1"/>
      <c r="C46" s="8" t="s">
        <v>119</v>
      </c>
      <c r="D46" s="19" t="n">
        <v>200</v>
      </c>
      <c r="E46" s="8" t="s">
        <v>120</v>
      </c>
      <c r="F46" s="1"/>
      <c r="G46" s="1"/>
      <c r="H46" s="1"/>
      <c r="I46" s="1"/>
      <c r="J46" s="1"/>
      <c r="K46" s="1"/>
      <c r="L46" s="1"/>
      <c r="M46" s="1"/>
    </row>
    <row r="47" customFormat="false" ht="24" hidden="false" customHeight="true" outlineLevel="0" collapsed="false">
      <c r="A47" s="1"/>
      <c r="B47" s="1"/>
      <c r="C47" s="8" t="s">
        <v>121</v>
      </c>
      <c r="D47" s="19" t="n">
        <v>1.5</v>
      </c>
      <c r="E47" s="8" t="s">
        <v>122</v>
      </c>
      <c r="F47" s="1"/>
      <c r="G47" s="1"/>
      <c r="H47" s="1"/>
      <c r="I47" s="1"/>
      <c r="J47" s="1"/>
      <c r="K47" s="1"/>
      <c r="L47" s="1"/>
      <c r="M47" s="1"/>
    </row>
    <row r="48" customFormat="false" ht="24" hidden="false" customHeight="true" outlineLevel="0" collapsed="false">
      <c r="A48" s="1"/>
      <c r="B48" s="1"/>
      <c r="C48" s="8" t="s">
        <v>123</v>
      </c>
      <c r="D48" s="19" t="n">
        <v>60</v>
      </c>
      <c r="E48" s="1" t="s">
        <v>124</v>
      </c>
      <c r="F48" s="1"/>
      <c r="G48" s="1"/>
      <c r="H48" s="1"/>
      <c r="I48" s="1"/>
      <c r="J48" s="1"/>
      <c r="K48" s="1"/>
      <c r="L48" s="1"/>
      <c r="M48" s="1"/>
    </row>
    <row r="49" customFormat="false" ht="24" hidden="false" customHeight="true" outlineLevel="0" collapsed="false">
      <c r="A49" s="1"/>
      <c r="B49" s="1"/>
      <c r="C49" s="8" t="s">
        <v>125</v>
      </c>
      <c r="D49" s="19" t="n">
        <v>0</v>
      </c>
      <c r="E49" s="1" t="s">
        <v>126</v>
      </c>
      <c r="F49" s="1"/>
      <c r="G49" s="1"/>
      <c r="H49" s="1"/>
      <c r="I49" s="1"/>
      <c r="J49" s="1"/>
      <c r="K49" s="1"/>
      <c r="L49" s="1"/>
      <c r="M49" s="1"/>
    </row>
    <row r="50" customFormat="false" ht="24" hidden="false" customHeight="true" outlineLevel="0" collapsed="false">
      <c r="A50" s="1"/>
      <c r="B50" s="1"/>
      <c r="C50" s="8" t="s">
        <v>127</v>
      </c>
      <c r="D50" s="15" t="n">
        <v>0.03</v>
      </c>
      <c r="E50" s="1" t="s">
        <v>128</v>
      </c>
      <c r="F50" s="1"/>
      <c r="G50" s="1"/>
      <c r="H50" s="1"/>
      <c r="I50" s="1"/>
      <c r="J50" s="1"/>
      <c r="K50" s="1"/>
      <c r="L50" s="1"/>
      <c r="M50" s="1"/>
    </row>
    <row r="51" customFormat="false" ht="24" hidden="false" customHeight="true" outlineLevel="0" collapsed="false">
      <c r="A51" s="1"/>
      <c r="B51" s="1"/>
      <c r="C51" s="8" t="s">
        <v>129</v>
      </c>
      <c r="D51" s="19" t="n">
        <v>0</v>
      </c>
      <c r="E51" s="1" t="s">
        <v>130</v>
      </c>
      <c r="F51" s="1"/>
      <c r="G51" s="1"/>
      <c r="H51" s="1"/>
      <c r="I51" s="1"/>
      <c r="J51" s="1"/>
      <c r="K51" s="1"/>
      <c r="L51" s="1"/>
      <c r="M51" s="1"/>
    </row>
    <row r="52" customFormat="false" ht="24" hidden="false" customHeight="true" outlineLevel="0" collapsed="false">
      <c r="A52" s="1"/>
      <c r="B52" s="1"/>
      <c r="C52" s="8" t="s">
        <v>131</v>
      </c>
      <c r="D52" s="19" t="n">
        <v>0</v>
      </c>
      <c r="E52" s="1" t="s">
        <v>132</v>
      </c>
      <c r="F52" s="1"/>
      <c r="G52" s="1"/>
      <c r="H52" s="1"/>
      <c r="I52" s="1"/>
      <c r="J52" s="1"/>
      <c r="K52" s="1"/>
      <c r="L52" s="1"/>
      <c r="M52" s="1"/>
    </row>
    <row r="53" customFormat="false" ht="24" hidden="false" customHeight="true" outlineLevel="0" collapsed="false">
      <c r="A53" s="1"/>
      <c r="B53" s="1"/>
      <c r="C53" s="8" t="s">
        <v>133</v>
      </c>
      <c r="D53" s="19" t="n">
        <v>150</v>
      </c>
      <c r="E53" s="8" t="s">
        <v>134</v>
      </c>
      <c r="F53" s="1"/>
      <c r="G53" s="1"/>
      <c r="H53" s="1"/>
      <c r="I53" s="1"/>
      <c r="J53" s="1"/>
      <c r="K53" s="1"/>
      <c r="L53" s="1"/>
      <c r="M53" s="1"/>
    </row>
    <row r="54" customFormat="false" ht="24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24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24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24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24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24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24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24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24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24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24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24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dataValidations count="2">
    <dataValidation allowBlank="false" errorStyle="stop" operator="between" showDropDown="false" showErrorMessage="false" showInputMessage="false" sqref="D49" type="whole">
      <formula1>0</formula1>
      <formula2>1</formula2>
    </dataValidation>
    <dataValidation allowBlank="false" errorStyle="stop" operator="between" showDropDown="false" showErrorMessage="false" showInputMessage="false" sqref="D52" type="whole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D2A"/>
    <pageSetUpPr fitToPage="false"/>
  </sheetPr>
  <dimension ref="A1:A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0" min="4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24" hidden="false" customHeight="true" outlineLevel="0" collapsed="false">
      <c r="A2" s="1"/>
      <c r="B2" s="1"/>
      <c r="C2" s="4" t="s">
        <v>135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24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customFormat="false" ht="29" hidden="false" customHeight="true" outlineLevel="0" collapsed="false">
      <c r="A5" s="1"/>
      <c r="B5" s="1"/>
      <c r="C5" s="6" t="s">
        <v>136</v>
      </c>
      <c r="D5" s="7" t="s">
        <v>15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Format="false" ht="24" hidden="false" customHeight="true" outlineLevel="0" collapsed="false">
      <c r="A6" s="1"/>
      <c r="B6" s="1"/>
      <c r="C6" s="8" t="s">
        <v>137</v>
      </c>
      <c r="D6" s="11" t="n">
        <f aca="false">假设!$D$6*假设!$D$7</f>
        <v>1500</v>
      </c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Format="false" ht="24" hidden="false" customHeight="true" outlineLevel="0" collapsed="false">
      <c r="A7" s="1"/>
      <c r="B7" s="1"/>
      <c r="C7" s="8" t="s">
        <v>138</v>
      </c>
      <c r="D7" s="11" t="n">
        <f aca="false">假设!$D$6+D6</f>
        <v>11500</v>
      </c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customFormat="false" ht="24" hidden="false" customHeight="true" outlineLevel="0" collapsed="false">
      <c r="A8" s="1"/>
      <c r="B8" s="1"/>
      <c r="C8" s="8" t="s">
        <v>16</v>
      </c>
      <c r="D8" s="20" t="n">
        <f aca="false">假设!$D$7</f>
        <v>0.15</v>
      </c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customFormat="false" ht="24" hidden="false" customHeight="true" outlineLevel="0" collapsed="false">
      <c r="A9" s="1"/>
      <c r="B9" s="1"/>
      <c r="C9" s="8" t="s">
        <v>139</v>
      </c>
      <c r="D9" s="10" t="n">
        <f aca="false">D6/D7</f>
        <v>0.130434782608696</v>
      </c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customFormat="false" ht="24" hidden="false" customHeight="true" outlineLevel="0" collapsed="false">
      <c r="A10" s="1"/>
      <c r="B10" s="1"/>
      <c r="C10" s="8" t="s">
        <v>140</v>
      </c>
      <c r="D10" s="11" t="n">
        <f aca="false">假设!$D$6/假设!$D$8*1000</f>
        <v>2000000</v>
      </c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customFormat="false" ht="24" hidden="false" customHeight="true" outlineLevel="0" collapsed="false">
      <c r="A11" s="1"/>
      <c r="B11" s="1"/>
      <c r="C11" s="8" t="s">
        <v>141</v>
      </c>
      <c r="D11" s="11" t="n">
        <f aca="false">SUM(假设!$D$9:$D$12)</f>
        <v>600</v>
      </c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customFormat="false" ht="24" hidden="false" customHeight="true" outlineLevel="0" collapsed="false">
      <c r="A12" s="1"/>
      <c r="B12" s="1"/>
      <c r="C12" s="8" t="s">
        <v>142</v>
      </c>
      <c r="D12" s="11" t="n">
        <f aca="false">假设!$D$13</f>
        <v>150</v>
      </c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customFormat="false" ht="24" hidden="false" customHeight="true" outlineLevel="0" collapsed="false">
      <c r="A13" s="1"/>
      <c r="B13" s="1"/>
      <c r="C13" s="8" t="s">
        <v>143</v>
      </c>
      <c r="D13" s="2" t="n">
        <f aca="false">D6-D11-D12</f>
        <v>750</v>
      </c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customFormat="false" ht="24" hidden="false" customHeight="true" outlineLevel="0" collapsed="false">
      <c r="A14" s="1"/>
      <c r="B14" s="1"/>
      <c r="C14" s="8" t="s">
        <v>144</v>
      </c>
      <c r="D14" s="10" t="n">
        <f aca="false">D13/D6</f>
        <v>0.5</v>
      </c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customFormat="false" ht="24" hidden="false" customHeight="true" outlineLevel="0" collapsed="false">
      <c r="A15" s="1"/>
      <c r="B15" s="1"/>
      <c r="C15" s="8" t="s">
        <v>145</v>
      </c>
      <c r="D15" s="11" t="n">
        <f aca="false">假设!$D$24</f>
        <v>20</v>
      </c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customFormat="false" ht="24" hidden="false" customHeight="true" outlineLevel="0" collapsed="false">
      <c r="A16" s="1"/>
      <c r="B16" s="1"/>
      <c r="C16" s="8" t="s">
        <v>146</v>
      </c>
      <c r="D16" s="2" t="n">
        <f aca="false">D6*D15</f>
        <v>30000</v>
      </c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customFormat="false" ht="24" hidden="false" customHeight="true" outlineLevel="0" collapsed="false">
      <c r="A17" s="1"/>
      <c r="B17" s="1"/>
      <c r="C17" s="8" t="s">
        <v>147</v>
      </c>
      <c r="D17" s="11" t="n">
        <f aca="false">D11*D15+假设!$D$14</f>
        <v>14000</v>
      </c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customFormat="false" ht="24" hidden="false" customHeight="true" outlineLevel="0" collapsed="false">
      <c r="A18" s="1"/>
      <c r="B18" s="1"/>
      <c r="C18" s="8" t="s">
        <v>148</v>
      </c>
      <c r="D18" s="2" t="n">
        <f aca="false">D16-D17</f>
        <v>16000</v>
      </c>
      <c r="E18" s="2"/>
      <c r="F18" s="2"/>
      <c r="G18" s="2"/>
      <c r="H18" s="2"/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customFormat="false" ht="24" hidden="false" customHeight="true" outlineLevel="0" collapsed="false">
      <c r="A19" s="1"/>
      <c r="B19" s="1"/>
      <c r="C19" s="8" t="s">
        <v>149</v>
      </c>
      <c r="D19" s="10" t="n">
        <f aca="false">D18/D16</f>
        <v>0.533333333333333</v>
      </c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customFormat="false" ht="24" hidden="false" customHeight="true" outlineLevel="0" collapsed="false">
      <c r="A20" s="1"/>
      <c r="B20" s="1"/>
      <c r="C20" s="8" t="s">
        <v>150</v>
      </c>
      <c r="D20" s="2" t="n">
        <f aca="false">D13*D15</f>
        <v>15000</v>
      </c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customFormat="false" ht="24" hidden="false" customHeight="true" outlineLevel="0" collapsed="false">
      <c r="A21" s="1"/>
      <c r="B21" s="1"/>
      <c r="C21" s="8" t="s">
        <v>151</v>
      </c>
      <c r="D21" s="11" t="n">
        <f aca="false">假设!$D$14+假设!$D$15</f>
        <v>17000</v>
      </c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customFormat="false" ht="24" hidden="false" customHeight="true" outlineLevel="0" collapsed="false">
      <c r="A22" s="1"/>
      <c r="B22" s="1"/>
      <c r="C22" s="8" t="s">
        <v>152</v>
      </c>
      <c r="D22" s="2" t="n">
        <f aca="false">D20-D21</f>
        <v>-2000</v>
      </c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customFormat="false" ht="24" hidden="false" customHeight="true" outlineLevel="0" collapsed="false">
      <c r="A23" s="1"/>
      <c r="B23" s="1"/>
      <c r="C23" s="8" t="s">
        <v>153</v>
      </c>
      <c r="D23" s="10" t="n">
        <f aca="false">D22/D16</f>
        <v>-0.0666666666666667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24" hidden="false" customHeight="true" outlineLevel="0" collapsed="false">
      <c r="A24" s="1"/>
      <c r="B24" s="1"/>
      <c r="C24" s="8" t="s">
        <v>154</v>
      </c>
      <c r="D24" s="2" t="n">
        <f aca="false">IF(D13&lt;=0,"无法达成",ROUNDUP(D21/D13,0))</f>
        <v>23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customFormat="false" ht="24" hidden="false" customHeight="true" outlineLevel="0" collapsed="false">
      <c r="A25" s="1"/>
      <c r="B25" s="1"/>
      <c r="C25" s="8" t="s">
        <v>155</v>
      </c>
      <c r="D25" s="16" t="s">
        <v>156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customFormat="false" ht="24" hidden="false" customHeight="true" outlineLevel="0" collapsed="false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24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24" hidden="false" customHeight="true" outlineLevel="0" collapsed="false">
      <c r="A28" s="1"/>
      <c r="B28" s="1"/>
      <c r="C28" s="5" t="s">
        <v>157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customFormat="false" ht="24" hidden="false" customHeight="true" outlineLevel="0" collapsed="false">
      <c r="A29" s="1"/>
      <c r="B29" s="1"/>
      <c r="C29" s="21" t="s">
        <v>158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customFormat="false" ht="24" hidden="false" customHeight="true" outlineLevel="0" collapsed="false">
      <c r="A30" s="1"/>
      <c r="B30" s="1"/>
      <c r="C30" s="21" t="s">
        <v>159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customFormat="false" ht="24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customFormat="false" ht="24" hidden="false" customHeight="true" outlineLevel="0" collapsed="false">
      <c r="A32" s="1"/>
      <c r="B32" s="1"/>
      <c r="C32" s="5" t="s">
        <v>160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customFormat="false" ht="24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customFormat="false" ht="24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customFormat="false" ht="24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customFormat="false" ht="24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customFormat="false" ht="24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customFormat="false" ht="24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customFormat="false" ht="24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customFormat="false" ht="24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customFormat="false" ht="24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customFormat="false" ht="24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customFormat="false" ht="24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customFormat="false" ht="24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customFormat="false" ht="24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customFormat="false" ht="24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24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24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24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24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24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24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24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24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24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24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24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24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24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24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24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24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24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24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24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0" min="4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customFormat="false" ht="24" hidden="false" customHeight="true" outlineLevel="0" collapsed="false">
      <c r="A2" s="1"/>
      <c r="B2" s="1"/>
      <c r="C2" s="4" t="s">
        <v>161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 customFormat="false" ht="24" hidden="false" customHeight="true" outlineLevel="0" collapsed="false">
      <c r="A3" s="1"/>
      <c r="B3" s="1"/>
      <c r="C3" s="8" t="s">
        <v>162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</row>
    <row r="5" customFormat="false" ht="24" hidden="false" customHeight="true" outlineLevel="0" collapsed="false">
      <c r="A5" s="1"/>
      <c r="B5" s="1"/>
      <c r="C5" s="1"/>
      <c r="D5" s="22" t="n">
        <v>1</v>
      </c>
      <c r="E5" s="22" t="n">
        <v>2</v>
      </c>
      <c r="F5" s="22" t="n">
        <v>3</v>
      </c>
      <c r="G5" s="22" t="n">
        <v>4</v>
      </c>
      <c r="H5" s="22" t="n">
        <v>5</v>
      </c>
      <c r="I5" s="22" t="n">
        <v>6</v>
      </c>
      <c r="J5" s="22" t="n">
        <v>7</v>
      </c>
      <c r="K5" s="22" t="n">
        <v>8</v>
      </c>
      <c r="L5" s="22" t="n">
        <v>9</v>
      </c>
      <c r="M5" s="22" t="n">
        <v>10</v>
      </c>
      <c r="N5" s="22" t="n">
        <v>11</v>
      </c>
      <c r="O5" s="22" t="n">
        <v>12</v>
      </c>
      <c r="P5" s="22" t="n">
        <v>13</v>
      </c>
      <c r="Q5" s="22" t="n">
        <v>14</v>
      </c>
      <c r="R5" s="22" t="n">
        <v>15</v>
      </c>
      <c r="S5" s="22" t="n">
        <v>16</v>
      </c>
      <c r="T5" s="22" t="n">
        <v>17</v>
      </c>
      <c r="U5" s="22" t="n">
        <v>18</v>
      </c>
      <c r="V5" s="22" t="n">
        <v>19</v>
      </c>
      <c r="W5" s="22" t="n">
        <v>20</v>
      </c>
      <c r="X5" s="22" t="n">
        <v>21</v>
      </c>
      <c r="Y5" s="22" t="n">
        <v>22</v>
      </c>
      <c r="Z5" s="22" t="n">
        <v>23</v>
      </c>
      <c r="AA5" s="22" t="n">
        <v>24</v>
      </c>
      <c r="AB5" s="22" t="n">
        <v>25</v>
      </c>
      <c r="AC5" s="22" t="n">
        <v>26</v>
      </c>
      <c r="AD5" s="22" t="n">
        <v>27</v>
      </c>
      <c r="AE5" s="22" t="n">
        <v>28</v>
      </c>
      <c r="AF5" s="22" t="n">
        <v>29</v>
      </c>
      <c r="AG5" s="22" t="n">
        <v>30</v>
      </c>
      <c r="AH5" s="22" t="n">
        <v>31</v>
      </c>
      <c r="AI5" s="22" t="n">
        <v>32</v>
      </c>
      <c r="AJ5" s="22" t="n">
        <v>33</v>
      </c>
      <c r="AK5" s="22" t="n">
        <v>34</v>
      </c>
      <c r="AL5" s="22" t="n">
        <v>35</v>
      </c>
      <c r="AM5" s="22" t="n">
        <v>36</v>
      </c>
      <c r="AN5" s="3"/>
    </row>
    <row r="6" customFormat="false" ht="24" hidden="false" customHeight="true" outlineLevel="0" collapsed="false">
      <c r="A6" s="1"/>
      <c r="B6" s="1"/>
      <c r="C6" s="8" t="s">
        <v>163</v>
      </c>
      <c r="D6" s="11" t="n">
        <f aca="false">假设!D31</f>
        <v>0</v>
      </c>
      <c r="E6" s="11" t="n">
        <f aca="false">假设!E31</f>
        <v>0</v>
      </c>
      <c r="F6" s="11" t="n">
        <f aca="false">假设!F31</f>
        <v>0</v>
      </c>
      <c r="G6" s="11" t="n">
        <f aca="false">假设!G31</f>
        <v>0</v>
      </c>
      <c r="H6" s="11" t="n">
        <f aca="false">假设!H31</f>
        <v>4</v>
      </c>
      <c r="I6" s="11" t="n">
        <f aca="false">假设!I31</f>
        <v>6</v>
      </c>
      <c r="J6" s="11" t="n">
        <f aca="false">假设!J31</f>
        <v>8</v>
      </c>
      <c r="K6" s="11" t="n">
        <f aca="false">假设!K31</f>
        <v>10</v>
      </c>
      <c r="L6" s="11" t="n">
        <f aca="false">假设!L31</f>
        <v>12</v>
      </c>
      <c r="M6" s="11" t="n">
        <f aca="false">假设!M31</f>
        <v>14</v>
      </c>
      <c r="N6" s="11" t="n">
        <f aca="false">假设!N31</f>
        <v>16</v>
      </c>
      <c r="O6" s="11" t="n">
        <f aca="false">假设!O31</f>
        <v>18</v>
      </c>
      <c r="P6" s="11" t="n">
        <f aca="false">假设!P31</f>
        <v>20</v>
      </c>
      <c r="Q6" s="11" t="n">
        <f aca="false">假设!Q31</f>
        <v>20</v>
      </c>
      <c r="R6" s="11" t="n">
        <f aca="false">假设!R31</f>
        <v>22</v>
      </c>
      <c r="S6" s="11" t="n">
        <f aca="false">假设!S31</f>
        <v>22</v>
      </c>
      <c r="T6" s="11" t="n">
        <f aca="false">假设!T31</f>
        <v>24</v>
      </c>
      <c r="U6" s="11" t="n">
        <f aca="false">假设!U31</f>
        <v>24</v>
      </c>
      <c r="V6" s="11" t="n">
        <f aca="false">假设!V31</f>
        <v>24</v>
      </c>
      <c r="W6" s="11" t="n">
        <f aca="false">假设!W31</f>
        <v>26</v>
      </c>
      <c r="X6" s="11" t="n">
        <f aca="false">假设!X31</f>
        <v>26</v>
      </c>
      <c r="Y6" s="11" t="n">
        <f aca="false">假设!Y31</f>
        <v>26</v>
      </c>
      <c r="Z6" s="11" t="n">
        <f aca="false">假设!Z31</f>
        <v>28</v>
      </c>
      <c r="AA6" s="11" t="n">
        <f aca="false">假设!AA31</f>
        <v>28</v>
      </c>
      <c r="AB6" s="11" t="n">
        <f aca="false">假设!AB31</f>
        <v>28</v>
      </c>
      <c r="AC6" s="11" t="n">
        <f aca="false">假设!AC31</f>
        <v>30</v>
      </c>
      <c r="AD6" s="11" t="n">
        <f aca="false">假设!AD31</f>
        <v>30</v>
      </c>
      <c r="AE6" s="11" t="n">
        <f aca="false">假设!AE31</f>
        <v>30</v>
      </c>
      <c r="AF6" s="11" t="n">
        <f aca="false">假设!AF31</f>
        <v>30</v>
      </c>
      <c r="AG6" s="11" t="n">
        <f aca="false">假设!AG31</f>
        <v>30</v>
      </c>
      <c r="AH6" s="11" t="n">
        <f aca="false">假设!AH31</f>
        <v>30</v>
      </c>
      <c r="AI6" s="11" t="n">
        <f aca="false">假设!AI31</f>
        <v>30</v>
      </c>
      <c r="AJ6" s="11" t="n">
        <f aca="false">假设!AJ31</f>
        <v>30</v>
      </c>
      <c r="AK6" s="11" t="n">
        <f aca="false">假设!AK31</f>
        <v>30</v>
      </c>
      <c r="AL6" s="11" t="n">
        <f aca="false">假设!AL31</f>
        <v>30</v>
      </c>
      <c r="AM6" s="11" t="n">
        <f aca="false">假设!AM31</f>
        <v>30</v>
      </c>
      <c r="AN6" s="3"/>
    </row>
    <row r="7" customFormat="false" ht="24" hidden="false" customHeight="true" outlineLevel="0" collapsed="false">
      <c r="A7" s="1"/>
      <c r="B7" s="1"/>
      <c r="C7" s="8" t="s">
        <v>164</v>
      </c>
      <c r="D7" s="23" t="n">
        <f aca="false">D6/假设!$D$21</f>
        <v>0</v>
      </c>
      <c r="E7" s="23" t="n">
        <f aca="false">E6/假设!$D$21</f>
        <v>0</v>
      </c>
      <c r="F7" s="23" t="n">
        <f aca="false">F6/假设!$D$21</f>
        <v>0</v>
      </c>
      <c r="G7" s="23" t="n">
        <f aca="false">G6/假设!$D$21</f>
        <v>0</v>
      </c>
      <c r="H7" s="23" t="n">
        <f aca="false">H6/假设!$D$21</f>
        <v>2</v>
      </c>
      <c r="I7" s="23" t="n">
        <f aca="false">I6/假设!$D$21</f>
        <v>3</v>
      </c>
      <c r="J7" s="23" t="n">
        <f aca="false">J6/假设!$D$21</f>
        <v>4</v>
      </c>
      <c r="K7" s="23" t="n">
        <f aca="false">K6/假设!$D$21</f>
        <v>5</v>
      </c>
      <c r="L7" s="23" t="n">
        <f aca="false">L6/假设!$D$21</f>
        <v>6</v>
      </c>
      <c r="M7" s="23" t="n">
        <f aca="false">M6/假设!$D$21</f>
        <v>7</v>
      </c>
      <c r="N7" s="23" t="n">
        <f aca="false">N6/假设!$D$21</f>
        <v>8</v>
      </c>
      <c r="O7" s="23" t="n">
        <f aca="false">O6/假设!$D$21</f>
        <v>9</v>
      </c>
      <c r="P7" s="23" t="n">
        <f aca="false">P6/假设!$D$21</f>
        <v>10</v>
      </c>
      <c r="Q7" s="23" t="n">
        <f aca="false">Q6/假设!$D$21</f>
        <v>10</v>
      </c>
      <c r="R7" s="23" t="n">
        <f aca="false">R6/假设!$D$21</f>
        <v>11</v>
      </c>
      <c r="S7" s="23" t="n">
        <f aca="false">S6/假设!$D$21</f>
        <v>11</v>
      </c>
      <c r="T7" s="23" t="n">
        <f aca="false">T6/假设!$D$21</f>
        <v>12</v>
      </c>
      <c r="U7" s="23" t="n">
        <f aca="false">U6/假设!$D$21</f>
        <v>12</v>
      </c>
      <c r="V7" s="23" t="n">
        <f aca="false">V6/假设!$D$21</f>
        <v>12</v>
      </c>
      <c r="W7" s="23" t="n">
        <f aca="false">W6/假设!$D$21</f>
        <v>13</v>
      </c>
      <c r="X7" s="23" t="n">
        <f aca="false">X6/假设!$D$21</f>
        <v>13</v>
      </c>
      <c r="Y7" s="23" t="n">
        <f aca="false">Y6/假设!$D$21</f>
        <v>13</v>
      </c>
      <c r="Z7" s="23" t="n">
        <f aca="false">Z6/假设!$D$21</f>
        <v>14</v>
      </c>
      <c r="AA7" s="23" t="n">
        <f aca="false">AA6/假设!$D$21</f>
        <v>14</v>
      </c>
      <c r="AB7" s="23" t="n">
        <f aca="false">AB6/假设!$D$21</f>
        <v>14</v>
      </c>
      <c r="AC7" s="23" t="n">
        <f aca="false">AC6/假设!$D$21</f>
        <v>15</v>
      </c>
      <c r="AD7" s="23" t="n">
        <f aca="false">AD6/假设!$D$21</f>
        <v>15</v>
      </c>
      <c r="AE7" s="23" t="n">
        <f aca="false">AE6/假设!$D$21</f>
        <v>15</v>
      </c>
      <c r="AF7" s="23" t="n">
        <f aca="false">AF6/假设!$D$21</f>
        <v>15</v>
      </c>
      <c r="AG7" s="23" t="n">
        <f aca="false">AG6/假设!$D$21</f>
        <v>15</v>
      </c>
      <c r="AH7" s="23" t="n">
        <f aca="false">AH6/假设!$D$21</f>
        <v>15</v>
      </c>
      <c r="AI7" s="23" t="n">
        <f aca="false">AI6/假设!$D$21</f>
        <v>15</v>
      </c>
      <c r="AJ7" s="23" t="n">
        <f aca="false">AJ6/假设!$D$21</f>
        <v>15</v>
      </c>
      <c r="AK7" s="23" t="n">
        <f aca="false">AK6/假设!$D$21</f>
        <v>15</v>
      </c>
      <c r="AL7" s="23" t="n">
        <f aca="false">AL6/假设!$D$21</f>
        <v>15</v>
      </c>
      <c r="AM7" s="23" t="n">
        <f aca="false">AM6/假设!$D$21</f>
        <v>15</v>
      </c>
      <c r="AN7" s="3"/>
    </row>
    <row r="8" customFormat="false" ht="24" hidden="false" customHeight="true" outlineLevel="0" collapsed="false">
      <c r="A8" s="1"/>
      <c r="B8" s="1"/>
      <c r="C8" s="8" t="s">
        <v>165</v>
      </c>
      <c r="D8" s="24" t="n">
        <f aca="false">0</f>
        <v>0</v>
      </c>
      <c r="E8" s="23" t="n">
        <f aca="false">MIN(E7,D7*(1-假设!$D$22))</f>
        <v>0</v>
      </c>
      <c r="F8" s="23" t="n">
        <f aca="false">MIN(F7,E7*(1-假设!$D$22))</f>
        <v>0</v>
      </c>
      <c r="G8" s="23" t="n">
        <f aca="false">MIN(G7,F7*(1-假设!$D$22))</f>
        <v>0</v>
      </c>
      <c r="H8" s="23" t="n">
        <f aca="false">MIN(H7,G7*(1-假设!$D$22))</f>
        <v>0</v>
      </c>
      <c r="I8" s="23" t="n">
        <f aca="false">MIN(I7,H7*(1-假设!$D$22))</f>
        <v>1.9</v>
      </c>
      <c r="J8" s="23" t="n">
        <f aca="false">MIN(J7,I7*(1-假设!$D$22))</f>
        <v>2.85</v>
      </c>
      <c r="K8" s="23" t="n">
        <f aca="false">MIN(K7,J7*(1-假设!$D$22))</f>
        <v>3.8</v>
      </c>
      <c r="L8" s="23" t="n">
        <f aca="false">MIN(L7,K7*(1-假设!$D$22))</f>
        <v>4.75</v>
      </c>
      <c r="M8" s="23" t="n">
        <f aca="false">MIN(M7,L7*(1-假设!$D$22))</f>
        <v>5.7</v>
      </c>
      <c r="N8" s="23" t="n">
        <f aca="false">MIN(N7,M7*(1-假设!$D$22))</f>
        <v>6.65</v>
      </c>
      <c r="O8" s="23" t="n">
        <f aca="false">MIN(O7,N7*(1-假设!$D$22))</f>
        <v>7.6</v>
      </c>
      <c r="P8" s="23" t="n">
        <f aca="false">MIN(P7,O7*(1-假设!$D$22))</f>
        <v>8.55</v>
      </c>
      <c r="Q8" s="23" t="n">
        <f aca="false">MIN(Q7,P7*(1-假设!$D$22))</f>
        <v>9.5</v>
      </c>
      <c r="R8" s="23" t="n">
        <f aca="false">MIN(R7,Q7*(1-假设!$D$22))</f>
        <v>9.5</v>
      </c>
      <c r="S8" s="23" t="n">
        <f aca="false">MIN(S7,R7*(1-假设!$D$22))</f>
        <v>10.45</v>
      </c>
      <c r="T8" s="23" t="n">
        <f aca="false">MIN(T7,S7*(1-假设!$D$22))</f>
        <v>10.45</v>
      </c>
      <c r="U8" s="23" t="n">
        <f aca="false">MIN(U7,T7*(1-假设!$D$22))</f>
        <v>11.4</v>
      </c>
      <c r="V8" s="23" t="n">
        <f aca="false">MIN(V7,U7*(1-假设!$D$22))</f>
        <v>11.4</v>
      </c>
      <c r="W8" s="23" t="n">
        <f aca="false">MIN(W7,V7*(1-假设!$D$22))</f>
        <v>11.4</v>
      </c>
      <c r="X8" s="23" t="n">
        <f aca="false">MIN(X7,W7*(1-假设!$D$22))</f>
        <v>12.35</v>
      </c>
      <c r="Y8" s="23" t="n">
        <f aca="false">MIN(Y7,X7*(1-假设!$D$22))</f>
        <v>12.35</v>
      </c>
      <c r="Z8" s="23" t="n">
        <f aca="false">MIN(Z7,Y7*(1-假设!$D$22))</f>
        <v>12.35</v>
      </c>
      <c r="AA8" s="23" t="n">
        <f aca="false">MIN(AA7,Z7*(1-假设!$D$22))</f>
        <v>13.3</v>
      </c>
      <c r="AB8" s="23" t="n">
        <f aca="false">MIN(AB7,AA7*(1-假设!$D$22))</f>
        <v>13.3</v>
      </c>
      <c r="AC8" s="23" t="n">
        <f aca="false">MIN(AC7,AB7*(1-假设!$D$22))</f>
        <v>13.3</v>
      </c>
      <c r="AD8" s="23" t="n">
        <f aca="false">MIN(AD7,AC7*(1-假设!$D$22))</f>
        <v>14.25</v>
      </c>
      <c r="AE8" s="23" t="n">
        <f aca="false">MIN(AE7,AD7*(1-假设!$D$22))</f>
        <v>14.25</v>
      </c>
      <c r="AF8" s="23" t="n">
        <f aca="false">MIN(AF7,AE7*(1-假设!$D$22))</f>
        <v>14.25</v>
      </c>
      <c r="AG8" s="23" t="n">
        <f aca="false">MIN(AG7,AF7*(1-假设!$D$22))</f>
        <v>14.25</v>
      </c>
      <c r="AH8" s="23" t="n">
        <f aca="false">MIN(AH7,AG7*(1-假设!$D$22))</f>
        <v>14.25</v>
      </c>
      <c r="AI8" s="23" t="n">
        <f aca="false">MIN(AI7,AH7*(1-假设!$D$22))</f>
        <v>14.25</v>
      </c>
      <c r="AJ8" s="23" t="n">
        <f aca="false">MIN(AJ7,AI7*(1-假设!$D$22))</f>
        <v>14.25</v>
      </c>
      <c r="AK8" s="23" t="n">
        <f aca="false">MIN(AK7,AJ7*(1-假设!$D$22))</f>
        <v>14.25</v>
      </c>
      <c r="AL8" s="23" t="n">
        <f aca="false">MIN(AL7,AK7*(1-假设!$D$22))</f>
        <v>14.25</v>
      </c>
      <c r="AM8" s="23" t="n">
        <f aca="false">MIN(AM7,AL7*(1-假设!$D$22))</f>
        <v>14.25</v>
      </c>
      <c r="AN8" s="3"/>
    </row>
    <row r="9" customFormat="false" ht="24" hidden="false" customHeight="true" outlineLevel="0" collapsed="false">
      <c r="A9" s="1"/>
      <c r="B9" s="1"/>
      <c r="C9" s="8" t="s">
        <v>166</v>
      </c>
      <c r="D9" s="24" t="n">
        <f aca="false">MAX(0,D7-D8)</f>
        <v>0</v>
      </c>
      <c r="E9" s="24" t="n">
        <f aca="false">MAX(0,E7-E8)</f>
        <v>0</v>
      </c>
      <c r="F9" s="24" t="n">
        <f aca="false">MAX(0,F7-F8)</f>
        <v>0</v>
      </c>
      <c r="G9" s="24" t="n">
        <f aca="false">MAX(0,G7-G8)</f>
        <v>0</v>
      </c>
      <c r="H9" s="24" t="n">
        <f aca="false">MAX(0,H7-H8)</f>
        <v>2</v>
      </c>
      <c r="I9" s="24" t="n">
        <f aca="false">MAX(0,I7-I8)</f>
        <v>1.1</v>
      </c>
      <c r="J9" s="24" t="n">
        <f aca="false">MAX(0,J7-J8)</f>
        <v>1.15</v>
      </c>
      <c r="K9" s="24" t="n">
        <f aca="false">MAX(0,K7-K8)</f>
        <v>1.2</v>
      </c>
      <c r="L9" s="24" t="n">
        <f aca="false">MAX(0,L7-L8)</f>
        <v>1.25</v>
      </c>
      <c r="M9" s="24" t="n">
        <f aca="false">MAX(0,M7-M8)</f>
        <v>1.3</v>
      </c>
      <c r="N9" s="24" t="n">
        <f aca="false">MAX(0,N7-N8)</f>
        <v>1.35</v>
      </c>
      <c r="O9" s="24" t="n">
        <f aca="false">MAX(0,O7-O8)</f>
        <v>1.4</v>
      </c>
      <c r="P9" s="24" t="n">
        <f aca="false">MAX(0,P7-P8)</f>
        <v>1.45</v>
      </c>
      <c r="Q9" s="24" t="n">
        <f aca="false">MAX(0,Q7-Q8)</f>
        <v>0.5</v>
      </c>
      <c r="R9" s="24" t="n">
        <f aca="false">MAX(0,R7-R8)</f>
        <v>1.5</v>
      </c>
      <c r="S9" s="24" t="n">
        <f aca="false">MAX(0,S7-S8)</f>
        <v>0.550000000000001</v>
      </c>
      <c r="T9" s="24" t="n">
        <f aca="false">MAX(0,T7-T8)</f>
        <v>1.55</v>
      </c>
      <c r="U9" s="24" t="n">
        <f aca="false">MAX(0,U7-U8)</f>
        <v>0.600000000000001</v>
      </c>
      <c r="V9" s="24" t="n">
        <f aca="false">MAX(0,V7-V8)</f>
        <v>0.600000000000001</v>
      </c>
      <c r="W9" s="24" t="n">
        <f aca="false">MAX(0,W7-W8)</f>
        <v>1.6</v>
      </c>
      <c r="X9" s="24" t="n">
        <f aca="false">MAX(0,X7-X8)</f>
        <v>0.65</v>
      </c>
      <c r="Y9" s="24" t="n">
        <f aca="false">MAX(0,Y7-Y8)</f>
        <v>0.65</v>
      </c>
      <c r="Z9" s="24" t="n">
        <f aca="false">MAX(0,Z7-Z8)</f>
        <v>1.65</v>
      </c>
      <c r="AA9" s="24" t="n">
        <f aca="false">MAX(0,AA7-AA8)</f>
        <v>0.700000000000001</v>
      </c>
      <c r="AB9" s="24" t="n">
        <f aca="false">MAX(0,AB7-AB8)</f>
        <v>0.700000000000001</v>
      </c>
      <c r="AC9" s="24" t="n">
        <f aca="false">MAX(0,AC7-AC8)</f>
        <v>1.7</v>
      </c>
      <c r="AD9" s="24" t="n">
        <f aca="false">MAX(0,AD7-AD8)</f>
        <v>0.75</v>
      </c>
      <c r="AE9" s="24" t="n">
        <f aca="false">MAX(0,AE7-AE8)</f>
        <v>0.75</v>
      </c>
      <c r="AF9" s="24" t="n">
        <f aca="false">MAX(0,AF7-AF8)</f>
        <v>0.75</v>
      </c>
      <c r="AG9" s="24" t="n">
        <f aca="false">MAX(0,AG7-AG8)</f>
        <v>0.75</v>
      </c>
      <c r="AH9" s="24" t="n">
        <f aca="false">MAX(0,AH7-AH8)</f>
        <v>0.75</v>
      </c>
      <c r="AI9" s="24" t="n">
        <f aca="false">MAX(0,AI7-AI8)</f>
        <v>0.75</v>
      </c>
      <c r="AJ9" s="24" t="n">
        <f aca="false">MAX(0,AJ7-AJ8)</f>
        <v>0.75</v>
      </c>
      <c r="AK9" s="24" t="n">
        <f aca="false">MAX(0,AK7-AK8)</f>
        <v>0.75</v>
      </c>
      <c r="AL9" s="24" t="n">
        <f aca="false">MAX(0,AL7-AL8)</f>
        <v>0.75</v>
      </c>
      <c r="AM9" s="24" t="n">
        <f aca="false">MAX(0,AM7-AM8)</f>
        <v>0.75</v>
      </c>
      <c r="AN9" s="3"/>
    </row>
    <row r="10" customFormat="false" ht="24" hidden="false" customHeight="true" outlineLevel="0" collapsed="false">
      <c r="A10" s="1"/>
      <c r="B10" s="1"/>
      <c r="C10" s="8" t="s">
        <v>167</v>
      </c>
      <c r="D10" s="11" t="n">
        <f aca="false">IF(D$5&lt;=假设!$D$25+1,0,D9*假设!$D$20)</f>
        <v>0</v>
      </c>
      <c r="E10" s="11" t="n">
        <f aca="false">IF(E$5&lt;=假设!$D$25+1,0,E9*假设!$D$20)</f>
        <v>0</v>
      </c>
      <c r="F10" s="11" t="n">
        <f aca="false">IF(F$5&lt;=假设!$D$25+1,0,F9*假设!$D$20)</f>
        <v>0</v>
      </c>
      <c r="G10" s="11" t="n">
        <f aca="false">IF(G$5&lt;=假设!$D$25+1,0,G9*假设!$D$20)</f>
        <v>0</v>
      </c>
      <c r="H10" s="11" t="n">
        <f aca="false">IF(H$5&lt;=假设!$D$25+1,0,H9*假设!$D$20)</f>
        <v>0</v>
      </c>
      <c r="I10" s="11" t="n">
        <f aca="false">IF(I$5&lt;=假设!$D$25+1,0,I9*假设!$D$20)</f>
        <v>1650</v>
      </c>
      <c r="J10" s="11" t="n">
        <f aca="false">IF(J$5&lt;=假设!$D$25+1,0,J9*假设!$D$20)</f>
        <v>1725</v>
      </c>
      <c r="K10" s="11" t="n">
        <f aca="false">IF(K$5&lt;=假设!$D$25+1,0,K9*假设!$D$20)</f>
        <v>1800</v>
      </c>
      <c r="L10" s="11" t="n">
        <f aca="false">IF(L$5&lt;=假设!$D$25+1,0,L9*假设!$D$20)</f>
        <v>1875</v>
      </c>
      <c r="M10" s="11" t="n">
        <f aca="false">IF(M$5&lt;=假设!$D$25+1,0,M9*假设!$D$20)</f>
        <v>1950</v>
      </c>
      <c r="N10" s="11" t="n">
        <f aca="false">IF(N$5&lt;=假设!$D$25+1,0,N9*假设!$D$20)</f>
        <v>2025</v>
      </c>
      <c r="O10" s="11" t="n">
        <f aca="false">IF(O$5&lt;=假设!$D$25+1,0,O9*假设!$D$20)</f>
        <v>2100</v>
      </c>
      <c r="P10" s="11" t="n">
        <f aca="false">IF(P$5&lt;=假设!$D$25+1,0,P9*假设!$D$20)</f>
        <v>2175</v>
      </c>
      <c r="Q10" s="11" t="n">
        <f aca="false">IF(Q$5&lt;=假设!$D$25+1,0,Q9*假设!$D$20)</f>
        <v>750</v>
      </c>
      <c r="R10" s="11" t="n">
        <f aca="false">IF(R$5&lt;=假设!$D$25+1,0,R9*假设!$D$20)</f>
        <v>2250</v>
      </c>
      <c r="S10" s="11" t="n">
        <f aca="false">IF(S$5&lt;=假设!$D$25+1,0,S9*假设!$D$20)</f>
        <v>825.000000000001</v>
      </c>
      <c r="T10" s="11" t="n">
        <f aca="false">IF(T$5&lt;=假设!$D$25+1,0,T9*假设!$D$20)</f>
        <v>2325</v>
      </c>
      <c r="U10" s="11" t="n">
        <f aca="false">IF(U$5&lt;=假设!$D$25+1,0,U9*假设!$D$20)</f>
        <v>900.000000000002</v>
      </c>
      <c r="V10" s="11" t="n">
        <f aca="false">IF(V$5&lt;=假设!$D$25+1,0,V9*假设!$D$20)</f>
        <v>900.000000000002</v>
      </c>
      <c r="W10" s="11" t="n">
        <f aca="false">IF(W$5&lt;=假设!$D$25+1,0,W9*假设!$D$20)</f>
        <v>2400</v>
      </c>
      <c r="X10" s="11" t="n">
        <f aca="false">IF(X$5&lt;=假设!$D$25+1,0,X9*假设!$D$20)</f>
        <v>975.000000000001</v>
      </c>
      <c r="Y10" s="11" t="n">
        <f aca="false">IF(Y$5&lt;=假设!$D$25+1,0,Y9*假设!$D$20)</f>
        <v>975.000000000001</v>
      </c>
      <c r="Z10" s="11" t="n">
        <f aca="false">IF(Z$5&lt;=假设!$D$25+1,0,Z9*假设!$D$20)</f>
        <v>2475</v>
      </c>
      <c r="AA10" s="11" t="n">
        <f aca="false">IF(AA$5&lt;=假设!$D$25+1,0,AA9*假设!$D$20)</f>
        <v>1050</v>
      </c>
      <c r="AB10" s="11" t="n">
        <f aca="false">IF(AB$5&lt;=假设!$D$25+1,0,AB9*假设!$D$20)</f>
        <v>1050</v>
      </c>
      <c r="AC10" s="11" t="n">
        <f aca="false">IF(AC$5&lt;=假设!$D$25+1,0,AC9*假设!$D$20)</f>
        <v>2550</v>
      </c>
      <c r="AD10" s="11" t="n">
        <f aca="false">IF(AD$5&lt;=假设!$D$25+1,0,AD9*假设!$D$20)</f>
        <v>1125</v>
      </c>
      <c r="AE10" s="11" t="n">
        <f aca="false">IF(AE$5&lt;=假设!$D$25+1,0,AE9*假设!$D$20)</f>
        <v>1125</v>
      </c>
      <c r="AF10" s="11" t="n">
        <f aca="false">IF(AF$5&lt;=假设!$D$25+1,0,AF9*假设!$D$20)</f>
        <v>1125</v>
      </c>
      <c r="AG10" s="11" t="n">
        <f aca="false">IF(AG$5&lt;=假设!$D$25+1,0,AG9*假设!$D$20)</f>
        <v>1125</v>
      </c>
      <c r="AH10" s="11" t="n">
        <f aca="false">IF(AH$5&lt;=假设!$D$25+1,0,AH9*假设!$D$20)</f>
        <v>1125</v>
      </c>
      <c r="AI10" s="11" t="n">
        <f aca="false">IF(AI$5&lt;=假设!$D$25+1,0,AI9*假设!$D$20)</f>
        <v>1125</v>
      </c>
      <c r="AJ10" s="11" t="n">
        <f aca="false">IF(AJ$5&lt;=假设!$D$25+1,0,AJ9*假设!$D$20)</f>
        <v>1125</v>
      </c>
      <c r="AK10" s="11" t="n">
        <f aca="false">IF(AK$5&lt;=假设!$D$25+1,0,AK9*假设!$D$20)</f>
        <v>1125</v>
      </c>
      <c r="AL10" s="11" t="n">
        <f aca="false">IF(AL$5&lt;=假设!$D$25+1,0,AL9*假设!$D$20)</f>
        <v>1125</v>
      </c>
      <c r="AM10" s="11" t="n">
        <f aca="false">IF(AM$5&lt;=假设!$D$25+1,0,AM9*假设!$D$20)</f>
        <v>1125</v>
      </c>
      <c r="AN10" s="3"/>
    </row>
    <row r="11" customFormat="false" ht="24" hidden="false" customHeight="true" outlineLevel="0" collapsed="false">
      <c r="A11" s="1"/>
      <c r="B11" s="1"/>
      <c r="C11" s="8" t="s">
        <v>168</v>
      </c>
      <c r="D11" s="11" t="n">
        <f aca="false">D6*单位经济!$D$10</f>
        <v>0</v>
      </c>
      <c r="E11" s="11" t="n">
        <f aca="false">E6*单位经济!$D$10</f>
        <v>0</v>
      </c>
      <c r="F11" s="11" t="n">
        <f aca="false">F6*单位经济!$D$10</f>
        <v>0</v>
      </c>
      <c r="G11" s="11" t="n">
        <f aca="false">G6*单位经济!$D$10</f>
        <v>0</v>
      </c>
      <c r="H11" s="11" t="n">
        <f aca="false">H6*单位经济!$D$10</f>
        <v>8000000</v>
      </c>
      <c r="I11" s="11" t="n">
        <f aca="false">I6*单位经济!$D$10</f>
        <v>12000000</v>
      </c>
      <c r="J11" s="11" t="n">
        <f aca="false">J6*单位经济!$D$10</f>
        <v>16000000</v>
      </c>
      <c r="K11" s="11" t="n">
        <f aca="false">K6*单位经济!$D$10</f>
        <v>20000000</v>
      </c>
      <c r="L11" s="11" t="n">
        <f aca="false">L6*单位经济!$D$10</f>
        <v>24000000</v>
      </c>
      <c r="M11" s="11" t="n">
        <f aca="false">M6*单位经济!$D$10</f>
        <v>28000000</v>
      </c>
      <c r="N11" s="11" t="n">
        <f aca="false">N6*单位经济!$D$10</f>
        <v>32000000</v>
      </c>
      <c r="O11" s="11" t="n">
        <f aca="false">O6*单位经济!$D$10</f>
        <v>36000000</v>
      </c>
      <c r="P11" s="11" t="n">
        <f aca="false">P6*单位经济!$D$10</f>
        <v>40000000</v>
      </c>
      <c r="Q11" s="11" t="n">
        <f aca="false">Q6*单位经济!$D$10</f>
        <v>40000000</v>
      </c>
      <c r="R11" s="11" t="n">
        <f aca="false">R6*单位经济!$D$10</f>
        <v>44000000</v>
      </c>
      <c r="S11" s="11" t="n">
        <f aca="false">S6*单位经济!$D$10</f>
        <v>44000000</v>
      </c>
      <c r="T11" s="11" t="n">
        <f aca="false">T6*单位经济!$D$10</f>
        <v>48000000</v>
      </c>
      <c r="U11" s="11" t="n">
        <f aca="false">U6*单位经济!$D$10</f>
        <v>48000000</v>
      </c>
      <c r="V11" s="11" t="n">
        <f aca="false">V6*单位经济!$D$10</f>
        <v>48000000</v>
      </c>
      <c r="W11" s="11" t="n">
        <f aca="false">W6*单位经济!$D$10</f>
        <v>52000000</v>
      </c>
      <c r="X11" s="11" t="n">
        <f aca="false">X6*单位经济!$D$10</f>
        <v>52000000</v>
      </c>
      <c r="Y11" s="11" t="n">
        <f aca="false">Y6*单位经济!$D$10</f>
        <v>52000000</v>
      </c>
      <c r="Z11" s="11" t="n">
        <f aca="false">Z6*单位经济!$D$10</f>
        <v>56000000</v>
      </c>
      <c r="AA11" s="11" t="n">
        <f aca="false">AA6*单位经济!$D$10</f>
        <v>56000000</v>
      </c>
      <c r="AB11" s="11" t="n">
        <f aca="false">AB6*单位经济!$D$10</f>
        <v>56000000</v>
      </c>
      <c r="AC11" s="11" t="n">
        <f aca="false">AC6*单位经济!$D$10</f>
        <v>60000000</v>
      </c>
      <c r="AD11" s="11" t="n">
        <f aca="false">AD6*单位经济!$D$10</f>
        <v>60000000</v>
      </c>
      <c r="AE11" s="11" t="n">
        <f aca="false">AE6*单位经济!$D$10</f>
        <v>60000000</v>
      </c>
      <c r="AF11" s="11" t="n">
        <f aca="false">AF6*单位经济!$D$10</f>
        <v>60000000</v>
      </c>
      <c r="AG11" s="11" t="n">
        <f aca="false">AG6*单位经济!$D$10</f>
        <v>60000000</v>
      </c>
      <c r="AH11" s="11" t="n">
        <f aca="false">AH6*单位经济!$D$10</f>
        <v>60000000</v>
      </c>
      <c r="AI11" s="11" t="n">
        <f aca="false">AI6*单位经济!$D$10</f>
        <v>60000000</v>
      </c>
      <c r="AJ11" s="11" t="n">
        <f aca="false">AJ6*单位经济!$D$10</f>
        <v>60000000</v>
      </c>
      <c r="AK11" s="11" t="n">
        <f aca="false">AK6*单位经济!$D$10</f>
        <v>60000000</v>
      </c>
      <c r="AL11" s="11" t="n">
        <f aca="false">AL6*单位经济!$D$10</f>
        <v>60000000</v>
      </c>
      <c r="AM11" s="11" t="n">
        <f aca="false">AM6*单位经济!$D$10</f>
        <v>60000000</v>
      </c>
      <c r="AN11" s="3"/>
    </row>
    <row r="12" customFormat="false" ht="24" hidden="false" customHeight="true" outlineLevel="0" collapsed="false">
      <c r="A12" s="1"/>
      <c r="B12" s="1"/>
      <c r="C12" s="8" t="s">
        <v>169</v>
      </c>
      <c r="D12" s="11" t="n">
        <f aca="false">D6*假设!$D$6</f>
        <v>0</v>
      </c>
      <c r="E12" s="11" t="n">
        <f aca="false">E6*假设!$D$6</f>
        <v>0</v>
      </c>
      <c r="F12" s="11" t="n">
        <f aca="false">F6*假设!$D$6</f>
        <v>0</v>
      </c>
      <c r="G12" s="11" t="n">
        <f aca="false">G6*假设!$D$6</f>
        <v>0</v>
      </c>
      <c r="H12" s="11" t="n">
        <f aca="false">H6*假设!$D$6</f>
        <v>40000</v>
      </c>
      <c r="I12" s="11" t="n">
        <f aca="false">I6*假设!$D$6</f>
        <v>60000</v>
      </c>
      <c r="J12" s="11" t="n">
        <f aca="false">J6*假设!$D$6</f>
        <v>80000</v>
      </c>
      <c r="K12" s="11" t="n">
        <f aca="false">K6*假设!$D$6</f>
        <v>100000</v>
      </c>
      <c r="L12" s="11" t="n">
        <f aca="false">L6*假设!$D$6</f>
        <v>120000</v>
      </c>
      <c r="M12" s="11" t="n">
        <f aca="false">M6*假设!$D$6</f>
        <v>140000</v>
      </c>
      <c r="N12" s="11" t="n">
        <f aca="false">N6*假设!$D$6</f>
        <v>160000</v>
      </c>
      <c r="O12" s="11" t="n">
        <f aca="false">O6*假设!$D$6</f>
        <v>180000</v>
      </c>
      <c r="P12" s="11" t="n">
        <f aca="false">P6*假设!$D$6</f>
        <v>200000</v>
      </c>
      <c r="Q12" s="11" t="n">
        <f aca="false">Q6*假设!$D$6</f>
        <v>200000</v>
      </c>
      <c r="R12" s="11" t="n">
        <f aca="false">R6*假设!$D$6</f>
        <v>220000</v>
      </c>
      <c r="S12" s="11" t="n">
        <f aca="false">S6*假设!$D$6</f>
        <v>220000</v>
      </c>
      <c r="T12" s="11" t="n">
        <f aca="false">T6*假设!$D$6</f>
        <v>240000</v>
      </c>
      <c r="U12" s="11" t="n">
        <f aca="false">U6*假设!$D$6</f>
        <v>240000</v>
      </c>
      <c r="V12" s="11" t="n">
        <f aca="false">V6*假设!$D$6</f>
        <v>240000</v>
      </c>
      <c r="W12" s="11" t="n">
        <f aca="false">W6*假设!$D$6</f>
        <v>260000</v>
      </c>
      <c r="X12" s="11" t="n">
        <f aca="false">X6*假设!$D$6</f>
        <v>260000</v>
      </c>
      <c r="Y12" s="11" t="n">
        <f aca="false">Y6*假设!$D$6</f>
        <v>260000</v>
      </c>
      <c r="Z12" s="11" t="n">
        <f aca="false">Z6*假设!$D$6</f>
        <v>280000</v>
      </c>
      <c r="AA12" s="11" t="n">
        <f aca="false">AA6*假设!$D$6</f>
        <v>280000</v>
      </c>
      <c r="AB12" s="11" t="n">
        <f aca="false">AB6*假设!$D$6</f>
        <v>280000</v>
      </c>
      <c r="AC12" s="11" t="n">
        <f aca="false">AC6*假设!$D$6</f>
        <v>300000</v>
      </c>
      <c r="AD12" s="11" t="n">
        <f aca="false">AD6*假设!$D$6</f>
        <v>300000</v>
      </c>
      <c r="AE12" s="11" t="n">
        <f aca="false">AE6*假设!$D$6</f>
        <v>300000</v>
      </c>
      <c r="AF12" s="11" t="n">
        <f aca="false">AF6*假设!$D$6</f>
        <v>300000</v>
      </c>
      <c r="AG12" s="11" t="n">
        <f aca="false">AG6*假设!$D$6</f>
        <v>300000</v>
      </c>
      <c r="AH12" s="11" t="n">
        <f aca="false">AH6*假设!$D$6</f>
        <v>300000</v>
      </c>
      <c r="AI12" s="11" t="n">
        <f aca="false">AI6*假设!$D$6</f>
        <v>300000</v>
      </c>
      <c r="AJ12" s="11" t="n">
        <f aca="false">AJ6*假设!$D$6</f>
        <v>300000</v>
      </c>
      <c r="AK12" s="11" t="n">
        <f aca="false">AK6*假设!$D$6</f>
        <v>300000</v>
      </c>
      <c r="AL12" s="11" t="n">
        <f aca="false">AL6*假设!$D$6</f>
        <v>300000</v>
      </c>
      <c r="AM12" s="11" t="n">
        <f aca="false">AM6*假设!$D$6</f>
        <v>300000</v>
      </c>
      <c r="AN12" s="3"/>
    </row>
    <row r="13" customFormat="false" ht="24" hidden="false" customHeight="true" outlineLevel="0" collapsed="false">
      <c r="A13" s="1"/>
      <c r="B13" s="1"/>
      <c r="C13" s="8" t="s">
        <v>170</v>
      </c>
      <c r="D13" s="2" t="n">
        <f aca="false">D12+D14</f>
        <v>0</v>
      </c>
      <c r="E13" s="2" t="n">
        <f aca="false">E12+E14</f>
        <v>0</v>
      </c>
      <c r="F13" s="2" t="n">
        <f aca="false">F12+F14</f>
        <v>0</v>
      </c>
      <c r="G13" s="2" t="n">
        <f aca="false">G12+G14</f>
        <v>0</v>
      </c>
      <c r="H13" s="2" t="n">
        <f aca="false">H12+H14</f>
        <v>46000</v>
      </c>
      <c r="I13" s="2" t="n">
        <f aca="false">I12+I14</f>
        <v>69000</v>
      </c>
      <c r="J13" s="2" t="n">
        <f aca="false">J12+J14</f>
        <v>92000</v>
      </c>
      <c r="K13" s="2" t="n">
        <f aca="false">K12+K14</f>
        <v>115000</v>
      </c>
      <c r="L13" s="2" t="n">
        <f aca="false">L12+L14</f>
        <v>138000</v>
      </c>
      <c r="M13" s="2" t="n">
        <f aca="false">M12+M14</f>
        <v>161000</v>
      </c>
      <c r="N13" s="2" t="n">
        <f aca="false">N12+N14</f>
        <v>184000</v>
      </c>
      <c r="O13" s="2" t="n">
        <f aca="false">O12+O14</f>
        <v>207000</v>
      </c>
      <c r="P13" s="2" t="n">
        <f aca="false">P12+P14</f>
        <v>230000</v>
      </c>
      <c r="Q13" s="2" t="n">
        <f aca="false">Q12+Q14</f>
        <v>230000</v>
      </c>
      <c r="R13" s="2" t="n">
        <f aca="false">R12+R14</f>
        <v>253000</v>
      </c>
      <c r="S13" s="2" t="n">
        <f aca="false">S12+S14</f>
        <v>253000</v>
      </c>
      <c r="T13" s="2" t="n">
        <f aca="false">T12+T14</f>
        <v>276000</v>
      </c>
      <c r="U13" s="2" t="n">
        <f aca="false">U12+U14</f>
        <v>276000</v>
      </c>
      <c r="V13" s="2" t="n">
        <f aca="false">V12+V14</f>
        <v>276000</v>
      </c>
      <c r="W13" s="2" t="n">
        <f aca="false">W12+W14</f>
        <v>299000</v>
      </c>
      <c r="X13" s="2" t="n">
        <f aca="false">X12+X14</f>
        <v>299000</v>
      </c>
      <c r="Y13" s="2" t="n">
        <f aca="false">Y12+Y14</f>
        <v>299000</v>
      </c>
      <c r="Z13" s="2" t="n">
        <f aca="false">Z12+Z14</f>
        <v>322000</v>
      </c>
      <c r="AA13" s="2" t="n">
        <f aca="false">AA12+AA14</f>
        <v>322000</v>
      </c>
      <c r="AB13" s="2" t="n">
        <f aca="false">AB12+AB14</f>
        <v>322000</v>
      </c>
      <c r="AC13" s="2" t="n">
        <f aca="false">AC12+AC14</f>
        <v>345000</v>
      </c>
      <c r="AD13" s="2" t="n">
        <f aca="false">AD12+AD14</f>
        <v>345000</v>
      </c>
      <c r="AE13" s="2" t="n">
        <f aca="false">AE12+AE14</f>
        <v>345000</v>
      </c>
      <c r="AF13" s="2" t="n">
        <f aca="false">AF12+AF14</f>
        <v>345000</v>
      </c>
      <c r="AG13" s="2" t="n">
        <f aca="false">AG12+AG14</f>
        <v>345000</v>
      </c>
      <c r="AH13" s="2" t="n">
        <f aca="false">AH12+AH14</f>
        <v>345000</v>
      </c>
      <c r="AI13" s="2" t="n">
        <f aca="false">AI12+AI14</f>
        <v>345000</v>
      </c>
      <c r="AJ13" s="2" t="n">
        <f aca="false">AJ12+AJ14</f>
        <v>345000</v>
      </c>
      <c r="AK13" s="2" t="n">
        <f aca="false">AK12+AK14</f>
        <v>345000</v>
      </c>
      <c r="AL13" s="2" t="n">
        <f aca="false">AL12+AL14</f>
        <v>345000</v>
      </c>
      <c r="AM13" s="2" t="n">
        <f aca="false">AM12+AM14</f>
        <v>345000</v>
      </c>
      <c r="AN13" s="3"/>
    </row>
    <row r="14" customFormat="false" ht="24" hidden="false" customHeight="true" outlineLevel="0" collapsed="false">
      <c r="A14" s="1"/>
      <c r="B14" s="1"/>
      <c r="C14" s="25" t="s">
        <v>171</v>
      </c>
      <c r="D14" s="26" t="n">
        <f aca="false">D6*单位经济!$D$6</f>
        <v>0</v>
      </c>
      <c r="E14" s="26" t="n">
        <f aca="false">E6*单位经济!$D$6</f>
        <v>0</v>
      </c>
      <c r="F14" s="26" t="n">
        <f aca="false">F6*单位经济!$D$6</f>
        <v>0</v>
      </c>
      <c r="G14" s="26" t="n">
        <f aca="false">G6*单位经济!$D$6</f>
        <v>0</v>
      </c>
      <c r="H14" s="26" t="n">
        <f aca="false">H6*单位经济!$D$6</f>
        <v>6000</v>
      </c>
      <c r="I14" s="26" t="n">
        <f aca="false">I6*单位经济!$D$6</f>
        <v>9000</v>
      </c>
      <c r="J14" s="26" t="n">
        <f aca="false">J6*单位经济!$D$6</f>
        <v>12000</v>
      </c>
      <c r="K14" s="26" t="n">
        <f aca="false">K6*单位经济!$D$6</f>
        <v>15000</v>
      </c>
      <c r="L14" s="26" t="n">
        <f aca="false">L6*单位经济!$D$6</f>
        <v>18000</v>
      </c>
      <c r="M14" s="26" t="n">
        <f aca="false">M6*单位经济!$D$6</f>
        <v>21000</v>
      </c>
      <c r="N14" s="26" t="n">
        <f aca="false">N6*单位经济!$D$6</f>
        <v>24000</v>
      </c>
      <c r="O14" s="26" t="n">
        <f aca="false">O6*单位经济!$D$6</f>
        <v>27000</v>
      </c>
      <c r="P14" s="26" t="n">
        <f aca="false">P6*单位经济!$D$6</f>
        <v>30000</v>
      </c>
      <c r="Q14" s="26" t="n">
        <f aca="false">Q6*单位经济!$D$6</f>
        <v>30000</v>
      </c>
      <c r="R14" s="26" t="n">
        <f aca="false">R6*单位经济!$D$6</f>
        <v>33000</v>
      </c>
      <c r="S14" s="26" t="n">
        <f aca="false">S6*单位经济!$D$6</f>
        <v>33000</v>
      </c>
      <c r="T14" s="26" t="n">
        <f aca="false">T6*单位经济!$D$6</f>
        <v>36000</v>
      </c>
      <c r="U14" s="26" t="n">
        <f aca="false">U6*单位经济!$D$6</f>
        <v>36000</v>
      </c>
      <c r="V14" s="26" t="n">
        <f aca="false">V6*单位经济!$D$6</f>
        <v>36000</v>
      </c>
      <c r="W14" s="26" t="n">
        <f aca="false">W6*单位经济!$D$6</f>
        <v>39000</v>
      </c>
      <c r="X14" s="26" t="n">
        <f aca="false">X6*单位经济!$D$6</f>
        <v>39000</v>
      </c>
      <c r="Y14" s="26" t="n">
        <f aca="false">Y6*单位经济!$D$6</f>
        <v>39000</v>
      </c>
      <c r="Z14" s="26" t="n">
        <f aca="false">Z6*单位经济!$D$6</f>
        <v>42000</v>
      </c>
      <c r="AA14" s="26" t="n">
        <f aca="false">AA6*单位经济!$D$6</f>
        <v>42000</v>
      </c>
      <c r="AB14" s="26" t="n">
        <f aca="false">AB6*单位经济!$D$6</f>
        <v>42000</v>
      </c>
      <c r="AC14" s="26" t="n">
        <f aca="false">AC6*单位经济!$D$6</f>
        <v>45000</v>
      </c>
      <c r="AD14" s="26" t="n">
        <f aca="false">AD6*单位经济!$D$6</f>
        <v>45000</v>
      </c>
      <c r="AE14" s="26" t="n">
        <f aca="false">AE6*单位经济!$D$6</f>
        <v>45000</v>
      </c>
      <c r="AF14" s="26" t="n">
        <f aca="false">AF6*单位经济!$D$6</f>
        <v>45000</v>
      </c>
      <c r="AG14" s="26" t="n">
        <f aca="false">AG6*单位经济!$D$6</f>
        <v>45000</v>
      </c>
      <c r="AH14" s="26" t="n">
        <f aca="false">AH6*单位经济!$D$6</f>
        <v>45000</v>
      </c>
      <c r="AI14" s="26" t="n">
        <f aca="false">AI6*单位经济!$D$6</f>
        <v>45000</v>
      </c>
      <c r="AJ14" s="26" t="n">
        <f aca="false">AJ6*单位经济!$D$6</f>
        <v>45000</v>
      </c>
      <c r="AK14" s="26" t="n">
        <f aca="false">AK6*单位经济!$D$6</f>
        <v>45000</v>
      </c>
      <c r="AL14" s="26" t="n">
        <f aca="false">AL6*单位经济!$D$6</f>
        <v>45000</v>
      </c>
      <c r="AM14" s="26" t="n">
        <f aca="false">AM6*单位经济!$D$6</f>
        <v>45000</v>
      </c>
      <c r="AN14" s="3"/>
    </row>
    <row r="15" customFormat="false" ht="24" hidden="false" customHeight="true" outlineLevel="0" collapsed="false">
      <c r="A15" s="1"/>
      <c r="B15" s="1"/>
      <c r="C15" s="8" t="s">
        <v>172</v>
      </c>
      <c r="D15" s="11" t="n">
        <f aca="false">D6*单位经济!$D$11</f>
        <v>0</v>
      </c>
      <c r="E15" s="11" t="n">
        <f aca="false">E6*单位经济!$D$11</f>
        <v>0</v>
      </c>
      <c r="F15" s="11" t="n">
        <f aca="false">F6*单位经济!$D$11</f>
        <v>0</v>
      </c>
      <c r="G15" s="11" t="n">
        <f aca="false">G6*单位经济!$D$11</f>
        <v>0</v>
      </c>
      <c r="H15" s="11" t="n">
        <f aca="false">H6*单位经济!$D$11</f>
        <v>2400</v>
      </c>
      <c r="I15" s="11" t="n">
        <f aca="false">I6*单位经济!$D$11</f>
        <v>3600</v>
      </c>
      <c r="J15" s="11" t="n">
        <f aca="false">J6*单位经济!$D$11</f>
        <v>4800</v>
      </c>
      <c r="K15" s="11" t="n">
        <f aca="false">K6*单位经济!$D$11</f>
        <v>6000</v>
      </c>
      <c r="L15" s="11" t="n">
        <f aca="false">L6*单位经济!$D$11</f>
        <v>7200</v>
      </c>
      <c r="M15" s="11" t="n">
        <f aca="false">M6*单位经济!$D$11</f>
        <v>8400</v>
      </c>
      <c r="N15" s="11" t="n">
        <f aca="false">N6*单位经济!$D$11</f>
        <v>9600</v>
      </c>
      <c r="O15" s="11" t="n">
        <f aca="false">O6*单位经济!$D$11</f>
        <v>10800</v>
      </c>
      <c r="P15" s="11" t="n">
        <f aca="false">P6*单位经济!$D$11</f>
        <v>12000</v>
      </c>
      <c r="Q15" s="11" t="n">
        <f aca="false">Q6*单位经济!$D$11</f>
        <v>12000</v>
      </c>
      <c r="R15" s="11" t="n">
        <f aca="false">R6*单位经济!$D$11</f>
        <v>13200</v>
      </c>
      <c r="S15" s="11" t="n">
        <f aca="false">S6*单位经济!$D$11</f>
        <v>13200</v>
      </c>
      <c r="T15" s="11" t="n">
        <f aca="false">T6*单位经济!$D$11</f>
        <v>14400</v>
      </c>
      <c r="U15" s="11" t="n">
        <f aca="false">U6*单位经济!$D$11</f>
        <v>14400</v>
      </c>
      <c r="V15" s="11" t="n">
        <f aca="false">V6*单位经济!$D$11</f>
        <v>14400</v>
      </c>
      <c r="W15" s="11" t="n">
        <f aca="false">W6*单位经济!$D$11</f>
        <v>15600</v>
      </c>
      <c r="X15" s="11" t="n">
        <f aca="false">X6*单位经济!$D$11</f>
        <v>15600</v>
      </c>
      <c r="Y15" s="11" t="n">
        <f aca="false">Y6*单位经济!$D$11</f>
        <v>15600</v>
      </c>
      <c r="Z15" s="11" t="n">
        <f aca="false">Z6*单位经济!$D$11</f>
        <v>16800</v>
      </c>
      <c r="AA15" s="11" t="n">
        <f aca="false">AA6*单位经济!$D$11</f>
        <v>16800</v>
      </c>
      <c r="AB15" s="11" t="n">
        <f aca="false">AB6*单位经济!$D$11</f>
        <v>16800</v>
      </c>
      <c r="AC15" s="11" t="n">
        <f aca="false">AC6*单位经济!$D$11</f>
        <v>18000</v>
      </c>
      <c r="AD15" s="11" t="n">
        <f aca="false">AD6*单位经济!$D$11</f>
        <v>18000</v>
      </c>
      <c r="AE15" s="11" t="n">
        <f aca="false">AE6*单位经济!$D$11</f>
        <v>18000</v>
      </c>
      <c r="AF15" s="11" t="n">
        <f aca="false">AF6*单位经济!$D$11</f>
        <v>18000</v>
      </c>
      <c r="AG15" s="11" t="n">
        <f aca="false">AG6*单位经济!$D$11</f>
        <v>18000</v>
      </c>
      <c r="AH15" s="11" t="n">
        <f aca="false">AH6*单位经济!$D$11</f>
        <v>18000</v>
      </c>
      <c r="AI15" s="11" t="n">
        <f aca="false">AI6*单位经济!$D$11</f>
        <v>18000</v>
      </c>
      <c r="AJ15" s="11" t="n">
        <f aca="false">AJ6*单位经济!$D$11</f>
        <v>18000</v>
      </c>
      <c r="AK15" s="11" t="n">
        <f aca="false">AK6*单位经济!$D$11</f>
        <v>18000</v>
      </c>
      <c r="AL15" s="11" t="n">
        <f aca="false">AL6*单位经济!$D$11</f>
        <v>18000</v>
      </c>
      <c r="AM15" s="11" t="n">
        <f aca="false">AM6*单位经济!$D$11</f>
        <v>18000</v>
      </c>
      <c r="AN15" s="3"/>
    </row>
    <row r="16" customFormat="false" ht="24" hidden="false" customHeight="true" outlineLevel="0" collapsed="false">
      <c r="A16" s="1"/>
      <c r="B16" s="1"/>
      <c r="C16" s="8" t="s">
        <v>173</v>
      </c>
      <c r="D16" s="11" t="n">
        <f aca="false">IF(D$5&gt;假设!$D$25,假设!$D$14,0)</f>
        <v>0</v>
      </c>
      <c r="E16" s="11" t="n">
        <f aca="false">IF(E$5&gt;假设!$D$25,假设!$D$14,0)</f>
        <v>0</v>
      </c>
      <c r="F16" s="11" t="n">
        <f aca="false">IF(F$5&gt;假设!$D$25,假设!$D$14,0)</f>
        <v>0</v>
      </c>
      <c r="G16" s="11" t="n">
        <f aca="false">IF(G$5&gt;假设!$D$25,假设!$D$14,0)</f>
        <v>0</v>
      </c>
      <c r="H16" s="11" t="n">
        <f aca="false">IF(H$5&gt;假设!$D$25,假设!$D$14,0)</f>
        <v>2000</v>
      </c>
      <c r="I16" s="11" t="n">
        <f aca="false">IF(I$5&gt;假设!$D$25,假设!$D$14,0)</f>
        <v>2000</v>
      </c>
      <c r="J16" s="11" t="n">
        <f aca="false">IF(J$5&gt;假设!$D$25,假设!$D$14,0)</f>
        <v>2000</v>
      </c>
      <c r="K16" s="11" t="n">
        <f aca="false">IF(K$5&gt;假设!$D$25,假设!$D$14,0)</f>
        <v>2000</v>
      </c>
      <c r="L16" s="11" t="n">
        <f aca="false">IF(L$5&gt;假设!$D$25,假设!$D$14,0)</f>
        <v>2000</v>
      </c>
      <c r="M16" s="11" t="n">
        <f aca="false">IF(M$5&gt;假设!$D$25,假设!$D$14,0)</f>
        <v>2000</v>
      </c>
      <c r="N16" s="11" t="n">
        <f aca="false">IF(N$5&gt;假设!$D$25,假设!$D$14,0)</f>
        <v>2000</v>
      </c>
      <c r="O16" s="11" t="n">
        <f aca="false">IF(O$5&gt;假设!$D$25,假设!$D$14,0)</f>
        <v>2000</v>
      </c>
      <c r="P16" s="11" t="n">
        <f aca="false">IF(P$5&gt;假设!$D$25,假设!$D$14,0)</f>
        <v>2000</v>
      </c>
      <c r="Q16" s="11" t="n">
        <f aca="false">IF(Q$5&gt;假设!$D$25,假设!$D$14,0)</f>
        <v>2000</v>
      </c>
      <c r="R16" s="11" t="n">
        <f aca="false">IF(R$5&gt;假设!$D$25,假设!$D$14,0)</f>
        <v>2000</v>
      </c>
      <c r="S16" s="11" t="n">
        <f aca="false">IF(S$5&gt;假设!$D$25,假设!$D$14,0)</f>
        <v>2000</v>
      </c>
      <c r="T16" s="11" t="n">
        <f aca="false">IF(T$5&gt;假设!$D$25,假设!$D$14,0)</f>
        <v>2000</v>
      </c>
      <c r="U16" s="11" t="n">
        <f aca="false">IF(U$5&gt;假设!$D$25,假设!$D$14,0)</f>
        <v>2000</v>
      </c>
      <c r="V16" s="11" t="n">
        <f aca="false">IF(V$5&gt;假设!$D$25,假设!$D$14,0)</f>
        <v>2000</v>
      </c>
      <c r="W16" s="11" t="n">
        <f aca="false">IF(W$5&gt;假设!$D$25,假设!$D$14,0)</f>
        <v>2000</v>
      </c>
      <c r="X16" s="11" t="n">
        <f aca="false">IF(X$5&gt;假设!$D$25,假设!$D$14,0)</f>
        <v>2000</v>
      </c>
      <c r="Y16" s="11" t="n">
        <f aca="false">IF(Y$5&gt;假设!$D$25,假设!$D$14,0)</f>
        <v>2000</v>
      </c>
      <c r="Z16" s="11" t="n">
        <f aca="false">IF(Z$5&gt;假设!$D$25,假设!$D$14,0)</f>
        <v>2000</v>
      </c>
      <c r="AA16" s="11" t="n">
        <f aca="false">IF(AA$5&gt;假设!$D$25,假设!$D$14,0)</f>
        <v>2000</v>
      </c>
      <c r="AB16" s="11" t="n">
        <f aca="false">IF(AB$5&gt;假设!$D$25,假设!$D$14,0)</f>
        <v>2000</v>
      </c>
      <c r="AC16" s="11" t="n">
        <f aca="false">IF(AC$5&gt;假设!$D$25,假设!$D$14,0)</f>
        <v>2000</v>
      </c>
      <c r="AD16" s="11" t="n">
        <f aca="false">IF(AD$5&gt;假设!$D$25,假设!$D$14,0)</f>
        <v>2000</v>
      </c>
      <c r="AE16" s="11" t="n">
        <f aca="false">IF(AE$5&gt;假设!$D$25,假设!$D$14,0)</f>
        <v>2000</v>
      </c>
      <c r="AF16" s="11" t="n">
        <f aca="false">IF(AF$5&gt;假设!$D$25,假设!$D$14,0)</f>
        <v>2000</v>
      </c>
      <c r="AG16" s="11" t="n">
        <f aca="false">IF(AG$5&gt;假设!$D$25,假设!$D$14,0)</f>
        <v>2000</v>
      </c>
      <c r="AH16" s="11" t="n">
        <f aca="false">IF(AH$5&gt;假设!$D$25,假设!$D$14,0)</f>
        <v>2000</v>
      </c>
      <c r="AI16" s="11" t="n">
        <f aca="false">IF(AI$5&gt;假设!$D$25,假设!$D$14,0)</f>
        <v>2000</v>
      </c>
      <c r="AJ16" s="11" t="n">
        <f aca="false">IF(AJ$5&gt;假设!$D$25,假设!$D$14,0)</f>
        <v>2000</v>
      </c>
      <c r="AK16" s="11" t="n">
        <f aca="false">IF(AK$5&gt;假设!$D$25,假设!$D$14,0)</f>
        <v>2000</v>
      </c>
      <c r="AL16" s="11" t="n">
        <f aca="false">IF(AL$5&gt;假设!$D$25,假设!$D$14,0)</f>
        <v>2000</v>
      </c>
      <c r="AM16" s="11" t="n">
        <f aca="false">IF(AM$5&gt;假设!$D$25,假设!$D$14,0)</f>
        <v>2000</v>
      </c>
      <c r="AN16" s="3"/>
    </row>
    <row r="17" customFormat="false" ht="24" hidden="false" customHeight="true" outlineLevel="0" collapsed="false">
      <c r="A17" s="1"/>
      <c r="B17" s="1"/>
      <c r="C17" s="8" t="s">
        <v>174</v>
      </c>
      <c r="D17" s="2" t="n">
        <f aca="false">SUM(D15:D16)</f>
        <v>0</v>
      </c>
      <c r="E17" s="2" t="n">
        <f aca="false">SUM(E15:E16)</f>
        <v>0</v>
      </c>
      <c r="F17" s="2" t="n">
        <f aca="false">SUM(F15:F16)</f>
        <v>0</v>
      </c>
      <c r="G17" s="2" t="n">
        <f aca="false">SUM(G15:G16)</f>
        <v>0</v>
      </c>
      <c r="H17" s="2" t="n">
        <f aca="false">SUM(H15:H16)</f>
        <v>4400</v>
      </c>
      <c r="I17" s="2" t="n">
        <f aca="false">SUM(I15:I16)</f>
        <v>5600</v>
      </c>
      <c r="J17" s="2" t="n">
        <f aca="false">SUM(J15:J16)</f>
        <v>6800</v>
      </c>
      <c r="K17" s="2" t="n">
        <f aca="false">SUM(K15:K16)</f>
        <v>8000</v>
      </c>
      <c r="L17" s="2" t="n">
        <f aca="false">SUM(L15:L16)</f>
        <v>9200</v>
      </c>
      <c r="M17" s="2" t="n">
        <f aca="false">SUM(M15:M16)</f>
        <v>10400</v>
      </c>
      <c r="N17" s="2" t="n">
        <f aca="false">SUM(N15:N16)</f>
        <v>11600</v>
      </c>
      <c r="O17" s="2" t="n">
        <f aca="false">SUM(O15:O16)</f>
        <v>12800</v>
      </c>
      <c r="P17" s="2" t="n">
        <f aca="false">SUM(P15:P16)</f>
        <v>14000</v>
      </c>
      <c r="Q17" s="2" t="n">
        <f aca="false">SUM(Q15:Q16)</f>
        <v>14000</v>
      </c>
      <c r="R17" s="2" t="n">
        <f aca="false">SUM(R15:R16)</f>
        <v>15200</v>
      </c>
      <c r="S17" s="2" t="n">
        <f aca="false">SUM(S15:S16)</f>
        <v>15200</v>
      </c>
      <c r="T17" s="2" t="n">
        <f aca="false">SUM(T15:T16)</f>
        <v>16400</v>
      </c>
      <c r="U17" s="2" t="n">
        <f aca="false">SUM(U15:U16)</f>
        <v>16400</v>
      </c>
      <c r="V17" s="2" t="n">
        <f aca="false">SUM(V15:V16)</f>
        <v>16400</v>
      </c>
      <c r="W17" s="2" t="n">
        <f aca="false">SUM(W15:W16)</f>
        <v>17600</v>
      </c>
      <c r="X17" s="2" t="n">
        <f aca="false">SUM(X15:X16)</f>
        <v>17600</v>
      </c>
      <c r="Y17" s="2" t="n">
        <f aca="false">SUM(Y15:Y16)</f>
        <v>17600</v>
      </c>
      <c r="Z17" s="2" t="n">
        <f aca="false">SUM(Z15:Z16)</f>
        <v>18800</v>
      </c>
      <c r="AA17" s="2" t="n">
        <f aca="false">SUM(AA15:AA16)</f>
        <v>18800</v>
      </c>
      <c r="AB17" s="2" t="n">
        <f aca="false">SUM(AB15:AB16)</f>
        <v>18800</v>
      </c>
      <c r="AC17" s="2" t="n">
        <f aca="false">SUM(AC15:AC16)</f>
        <v>20000</v>
      </c>
      <c r="AD17" s="2" t="n">
        <f aca="false">SUM(AD15:AD16)</f>
        <v>20000</v>
      </c>
      <c r="AE17" s="2" t="n">
        <f aca="false">SUM(AE15:AE16)</f>
        <v>20000</v>
      </c>
      <c r="AF17" s="2" t="n">
        <f aca="false">SUM(AF15:AF16)</f>
        <v>20000</v>
      </c>
      <c r="AG17" s="2" t="n">
        <f aca="false">SUM(AG15:AG16)</f>
        <v>20000</v>
      </c>
      <c r="AH17" s="2" t="n">
        <f aca="false">SUM(AH15:AH16)</f>
        <v>20000</v>
      </c>
      <c r="AI17" s="2" t="n">
        <f aca="false">SUM(AI15:AI16)</f>
        <v>20000</v>
      </c>
      <c r="AJ17" s="2" t="n">
        <f aca="false">SUM(AJ15:AJ16)</f>
        <v>20000</v>
      </c>
      <c r="AK17" s="2" t="n">
        <f aca="false">SUM(AK15:AK16)</f>
        <v>20000</v>
      </c>
      <c r="AL17" s="2" t="n">
        <f aca="false">SUM(AL15:AL16)</f>
        <v>20000</v>
      </c>
      <c r="AM17" s="2" t="n">
        <f aca="false">SUM(AM15:AM16)</f>
        <v>20000</v>
      </c>
      <c r="AN17" s="3"/>
    </row>
    <row r="18" customFormat="false" ht="24" hidden="false" customHeight="true" outlineLevel="0" collapsed="false">
      <c r="A18" s="1"/>
      <c r="B18" s="1"/>
      <c r="C18" s="25" t="s">
        <v>148</v>
      </c>
      <c r="D18" s="27" t="n">
        <f aca="false">D14-D17</f>
        <v>0</v>
      </c>
      <c r="E18" s="27" t="n">
        <f aca="false">E14-E17</f>
        <v>0</v>
      </c>
      <c r="F18" s="27" t="n">
        <f aca="false">F14-F17</f>
        <v>0</v>
      </c>
      <c r="G18" s="27" t="n">
        <f aca="false">G14-G17</f>
        <v>0</v>
      </c>
      <c r="H18" s="27" t="n">
        <f aca="false">H14-H17</f>
        <v>1600</v>
      </c>
      <c r="I18" s="27" t="n">
        <f aca="false">I14-I17</f>
        <v>3400</v>
      </c>
      <c r="J18" s="27" t="n">
        <f aca="false">J14-J17</f>
        <v>5200</v>
      </c>
      <c r="K18" s="27" t="n">
        <f aca="false">K14-K17</f>
        <v>7000</v>
      </c>
      <c r="L18" s="27" t="n">
        <f aca="false">L14-L17</f>
        <v>8800</v>
      </c>
      <c r="M18" s="27" t="n">
        <f aca="false">M14-M17</f>
        <v>10600</v>
      </c>
      <c r="N18" s="27" t="n">
        <f aca="false">N14-N17</f>
        <v>12400</v>
      </c>
      <c r="O18" s="27" t="n">
        <f aca="false">O14-O17</f>
        <v>14200</v>
      </c>
      <c r="P18" s="27" t="n">
        <f aca="false">P14-P17</f>
        <v>16000</v>
      </c>
      <c r="Q18" s="27" t="n">
        <f aca="false">Q14-Q17</f>
        <v>16000</v>
      </c>
      <c r="R18" s="27" t="n">
        <f aca="false">R14-R17</f>
        <v>17800</v>
      </c>
      <c r="S18" s="27" t="n">
        <f aca="false">S14-S17</f>
        <v>17800</v>
      </c>
      <c r="T18" s="27" t="n">
        <f aca="false">T14-T17</f>
        <v>19600</v>
      </c>
      <c r="U18" s="27" t="n">
        <f aca="false">U14-U17</f>
        <v>19600</v>
      </c>
      <c r="V18" s="27" t="n">
        <f aca="false">V14-V17</f>
        <v>19600</v>
      </c>
      <c r="W18" s="27" t="n">
        <f aca="false">W14-W17</f>
        <v>21400</v>
      </c>
      <c r="X18" s="27" t="n">
        <f aca="false">X14-X17</f>
        <v>21400</v>
      </c>
      <c r="Y18" s="27" t="n">
        <f aca="false">Y14-Y17</f>
        <v>21400</v>
      </c>
      <c r="Z18" s="27" t="n">
        <f aca="false">Z14-Z17</f>
        <v>23200</v>
      </c>
      <c r="AA18" s="27" t="n">
        <f aca="false">AA14-AA17</f>
        <v>23200</v>
      </c>
      <c r="AB18" s="27" t="n">
        <f aca="false">AB14-AB17</f>
        <v>23200</v>
      </c>
      <c r="AC18" s="27" t="n">
        <f aca="false">AC14-AC17</f>
        <v>25000</v>
      </c>
      <c r="AD18" s="27" t="n">
        <f aca="false">AD14-AD17</f>
        <v>25000</v>
      </c>
      <c r="AE18" s="27" t="n">
        <f aca="false">AE14-AE17</f>
        <v>25000</v>
      </c>
      <c r="AF18" s="27" t="n">
        <f aca="false">AF14-AF17</f>
        <v>25000</v>
      </c>
      <c r="AG18" s="27" t="n">
        <f aca="false">AG14-AG17</f>
        <v>25000</v>
      </c>
      <c r="AH18" s="27" t="n">
        <f aca="false">AH14-AH17</f>
        <v>25000</v>
      </c>
      <c r="AI18" s="27" t="n">
        <f aca="false">AI14-AI17</f>
        <v>25000</v>
      </c>
      <c r="AJ18" s="27" t="n">
        <f aca="false">AJ14-AJ17</f>
        <v>25000</v>
      </c>
      <c r="AK18" s="27" t="n">
        <f aca="false">AK14-AK17</f>
        <v>25000</v>
      </c>
      <c r="AL18" s="27" t="n">
        <f aca="false">AL14-AL17</f>
        <v>25000</v>
      </c>
      <c r="AM18" s="27" t="n">
        <f aca="false">AM14-AM17</f>
        <v>25000</v>
      </c>
      <c r="AN18" s="3"/>
    </row>
    <row r="19" customFormat="false" ht="24" hidden="false" customHeight="true" outlineLevel="0" collapsed="false">
      <c r="A19" s="1"/>
      <c r="B19" s="1"/>
      <c r="C19" s="8" t="s">
        <v>149</v>
      </c>
      <c r="D19" s="10" t="str">
        <f aca="false">IF(D14=0,"不适用",D18/D14)</f>
        <v>不适用</v>
      </c>
      <c r="E19" s="10" t="str">
        <f aca="false">IF(E14=0,"不适用",E18/E14)</f>
        <v>不适用</v>
      </c>
      <c r="F19" s="10" t="str">
        <f aca="false">IF(F14=0,"不适用",F18/F14)</f>
        <v>不适用</v>
      </c>
      <c r="G19" s="10" t="str">
        <f aca="false">IF(G14=0,"不适用",G18/G14)</f>
        <v>不适用</v>
      </c>
      <c r="H19" s="10" t="n">
        <f aca="false">IF(H14=0,"不适用",H18/H14)</f>
        <v>0.266666666666667</v>
      </c>
      <c r="I19" s="10" t="n">
        <f aca="false">IF(I14=0,"不适用",I18/I14)</f>
        <v>0.377777777777778</v>
      </c>
      <c r="J19" s="10" t="n">
        <f aca="false">IF(J14=0,"不适用",J18/J14)</f>
        <v>0.433333333333333</v>
      </c>
      <c r="K19" s="10" t="n">
        <f aca="false">IF(K14=0,"不适用",K18/K14)</f>
        <v>0.466666666666667</v>
      </c>
      <c r="L19" s="10" t="n">
        <f aca="false">IF(L14=0,"不适用",L18/L14)</f>
        <v>0.488888888888889</v>
      </c>
      <c r="M19" s="10" t="n">
        <f aca="false">IF(M14=0,"不适用",M18/M14)</f>
        <v>0.504761904761905</v>
      </c>
      <c r="N19" s="10" t="n">
        <f aca="false">IF(N14=0,"不适用",N18/N14)</f>
        <v>0.516666666666667</v>
      </c>
      <c r="O19" s="10" t="n">
        <f aca="false">IF(O14=0,"不适用",O18/O14)</f>
        <v>0.525925925925926</v>
      </c>
      <c r="P19" s="10" t="n">
        <f aca="false">IF(P14=0,"不适用",P18/P14)</f>
        <v>0.533333333333333</v>
      </c>
      <c r="Q19" s="10" t="n">
        <f aca="false">IF(Q14=0,"不适用",Q18/Q14)</f>
        <v>0.533333333333333</v>
      </c>
      <c r="R19" s="10" t="n">
        <f aca="false">IF(R14=0,"不适用",R18/R14)</f>
        <v>0.539393939393939</v>
      </c>
      <c r="S19" s="10" t="n">
        <f aca="false">IF(S14=0,"不适用",S18/S14)</f>
        <v>0.539393939393939</v>
      </c>
      <c r="T19" s="10" t="n">
        <f aca="false">IF(T14=0,"不适用",T18/T14)</f>
        <v>0.544444444444444</v>
      </c>
      <c r="U19" s="10" t="n">
        <f aca="false">IF(U14=0,"不适用",U18/U14)</f>
        <v>0.544444444444444</v>
      </c>
      <c r="V19" s="10" t="n">
        <f aca="false">IF(V14=0,"不适用",V18/V14)</f>
        <v>0.544444444444444</v>
      </c>
      <c r="W19" s="10" t="n">
        <f aca="false">IF(W14=0,"不适用",W18/W14)</f>
        <v>0.548717948717949</v>
      </c>
      <c r="X19" s="10" t="n">
        <f aca="false">IF(X14=0,"不适用",X18/X14)</f>
        <v>0.548717948717949</v>
      </c>
      <c r="Y19" s="10" t="n">
        <f aca="false">IF(Y14=0,"不适用",Y18/Y14)</f>
        <v>0.548717948717949</v>
      </c>
      <c r="Z19" s="10" t="n">
        <f aca="false">IF(Z14=0,"不适用",Z18/Z14)</f>
        <v>0.552380952380952</v>
      </c>
      <c r="AA19" s="10" t="n">
        <f aca="false">IF(AA14=0,"不适用",AA18/AA14)</f>
        <v>0.552380952380952</v>
      </c>
      <c r="AB19" s="10" t="n">
        <f aca="false">IF(AB14=0,"不适用",AB18/AB14)</f>
        <v>0.552380952380952</v>
      </c>
      <c r="AC19" s="10" t="n">
        <f aca="false">IF(AC14=0,"不适用",AC18/AC14)</f>
        <v>0.555555555555556</v>
      </c>
      <c r="AD19" s="10" t="n">
        <f aca="false">IF(AD14=0,"不适用",AD18/AD14)</f>
        <v>0.555555555555556</v>
      </c>
      <c r="AE19" s="10" t="n">
        <f aca="false">IF(AE14=0,"不适用",AE18/AE14)</f>
        <v>0.555555555555556</v>
      </c>
      <c r="AF19" s="10" t="n">
        <f aca="false">IF(AF14=0,"不适用",AF18/AF14)</f>
        <v>0.555555555555556</v>
      </c>
      <c r="AG19" s="10" t="n">
        <f aca="false">IF(AG14=0,"不适用",AG18/AG14)</f>
        <v>0.555555555555556</v>
      </c>
      <c r="AH19" s="10" t="n">
        <f aca="false">IF(AH14=0,"不适用",AH18/AH14)</f>
        <v>0.555555555555556</v>
      </c>
      <c r="AI19" s="10" t="n">
        <f aca="false">IF(AI14=0,"不适用",AI18/AI14)</f>
        <v>0.555555555555556</v>
      </c>
      <c r="AJ19" s="10" t="n">
        <f aca="false">IF(AJ14=0,"不适用",AJ18/AJ14)</f>
        <v>0.555555555555556</v>
      </c>
      <c r="AK19" s="10" t="n">
        <f aca="false">IF(AK14=0,"不适用",AK18/AK14)</f>
        <v>0.555555555555556</v>
      </c>
      <c r="AL19" s="10" t="n">
        <f aca="false">IF(AL14=0,"不适用",AL18/AL14)</f>
        <v>0.555555555555556</v>
      </c>
      <c r="AM19" s="10" t="n">
        <f aca="false">IF(AM14=0,"不适用",AM18/AM14)</f>
        <v>0.555555555555556</v>
      </c>
      <c r="AN19" s="3"/>
    </row>
    <row r="20" customFormat="false" ht="24" hidden="false" customHeight="true" outlineLevel="0" collapsed="false">
      <c r="A20" s="1"/>
      <c r="B20" s="1"/>
      <c r="C20" s="8" t="s">
        <v>175</v>
      </c>
      <c r="D20" s="11" t="n">
        <f aca="false">D6*假设!$D$13</f>
        <v>0</v>
      </c>
      <c r="E20" s="11" t="n">
        <f aca="false">E6*假设!$D$13</f>
        <v>0</v>
      </c>
      <c r="F20" s="11" t="n">
        <f aca="false">F6*假设!$D$13</f>
        <v>0</v>
      </c>
      <c r="G20" s="11" t="n">
        <f aca="false">G6*假设!$D$13</f>
        <v>0</v>
      </c>
      <c r="H20" s="11" t="n">
        <f aca="false">H6*假设!$D$13</f>
        <v>600</v>
      </c>
      <c r="I20" s="11" t="n">
        <f aca="false">I6*假设!$D$13</f>
        <v>900</v>
      </c>
      <c r="J20" s="11" t="n">
        <f aca="false">J6*假设!$D$13</f>
        <v>1200</v>
      </c>
      <c r="K20" s="11" t="n">
        <f aca="false">K6*假设!$D$13</f>
        <v>1500</v>
      </c>
      <c r="L20" s="11" t="n">
        <f aca="false">L6*假设!$D$13</f>
        <v>1800</v>
      </c>
      <c r="M20" s="11" t="n">
        <f aca="false">M6*假设!$D$13</f>
        <v>2100</v>
      </c>
      <c r="N20" s="11" t="n">
        <f aca="false">N6*假设!$D$13</f>
        <v>2400</v>
      </c>
      <c r="O20" s="11" t="n">
        <f aca="false">O6*假设!$D$13</f>
        <v>2700</v>
      </c>
      <c r="P20" s="11" t="n">
        <f aca="false">P6*假设!$D$13</f>
        <v>3000</v>
      </c>
      <c r="Q20" s="11" t="n">
        <f aca="false">Q6*假设!$D$13</f>
        <v>3000</v>
      </c>
      <c r="R20" s="11" t="n">
        <f aca="false">R6*假设!$D$13</f>
        <v>3300</v>
      </c>
      <c r="S20" s="11" t="n">
        <f aca="false">S6*假设!$D$13</f>
        <v>3300</v>
      </c>
      <c r="T20" s="11" t="n">
        <f aca="false">T6*假设!$D$13</f>
        <v>3600</v>
      </c>
      <c r="U20" s="11" t="n">
        <f aca="false">U6*假设!$D$13</f>
        <v>3600</v>
      </c>
      <c r="V20" s="11" t="n">
        <f aca="false">V6*假设!$D$13</f>
        <v>3600</v>
      </c>
      <c r="W20" s="11" t="n">
        <f aca="false">W6*假设!$D$13</f>
        <v>3900</v>
      </c>
      <c r="X20" s="11" t="n">
        <f aca="false">X6*假设!$D$13</f>
        <v>3900</v>
      </c>
      <c r="Y20" s="11" t="n">
        <f aca="false">Y6*假设!$D$13</f>
        <v>3900</v>
      </c>
      <c r="Z20" s="11" t="n">
        <f aca="false">Z6*假设!$D$13</f>
        <v>4200</v>
      </c>
      <c r="AA20" s="11" t="n">
        <f aca="false">AA6*假设!$D$13</f>
        <v>4200</v>
      </c>
      <c r="AB20" s="11" t="n">
        <f aca="false">AB6*假设!$D$13</f>
        <v>4200</v>
      </c>
      <c r="AC20" s="11" t="n">
        <f aca="false">AC6*假设!$D$13</f>
        <v>4500</v>
      </c>
      <c r="AD20" s="11" t="n">
        <f aca="false">AD6*假设!$D$13</f>
        <v>4500</v>
      </c>
      <c r="AE20" s="11" t="n">
        <f aca="false">AE6*假设!$D$13</f>
        <v>4500</v>
      </c>
      <c r="AF20" s="11" t="n">
        <f aca="false">AF6*假设!$D$13</f>
        <v>4500</v>
      </c>
      <c r="AG20" s="11" t="n">
        <f aca="false">AG6*假设!$D$13</f>
        <v>4500</v>
      </c>
      <c r="AH20" s="11" t="n">
        <f aca="false">AH6*假设!$D$13</f>
        <v>4500</v>
      </c>
      <c r="AI20" s="11" t="n">
        <f aca="false">AI6*假设!$D$13</f>
        <v>4500</v>
      </c>
      <c r="AJ20" s="11" t="n">
        <f aca="false">AJ6*假设!$D$13</f>
        <v>4500</v>
      </c>
      <c r="AK20" s="11" t="n">
        <f aca="false">AK6*假设!$D$13</f>
        <v>4500</v>
      </c>
      <c r="AL20" s="11" t="n">
        <f aca="false">AL6*假设!$D$13</f>
        <v>4500</v>
      </c>
      <c r="AM20" s="11" t="n">
        <f aca="false">AM6*假设!$D$13</f>
        <v>4500</v>
      </c>
      <c r="AN20" s="3"/>
    </row>
    <row r="21" customFormat="false" ht="24" hidden="false" customHeight="true" outlineLevel="0" collapsed="false">
      <c r="A21" s="1"/>
      <c r="B21" s="1"/>
      <c r="C21" s="25" t="s">
        <v>176</v>
      </c>
      <c r="D21" s="27" t="n">
        <f aca="false">D14-D15-D20</f>
        <v>0</v>
      </c>
      <c r="E21" s="27" t="n">
        <f aca="false">E14-E15-E20</f>
        <v>0</v>
      </c>
      <c r="F21" s="27" t="n">
        <f aca="false">F14-F15-F20</f>
        <v>0</v>
      </c>
      <c r="G21" s="27" t="n">
        <f aca="false">G14-G15-G20</f>
        <v>0</v>
      </c>
      <c r="H21" s="27" t="n">
        <f aca="false">H14-H15-H20</f>
        <v>3000</v>
      </c>
      <c r="I21" s="27" t="n">
        <f aca="false">I14-I15-I20</f>
        <v>4500</v>
      </c>
      <c r="J21" s="27" t="n">
        <f aca="false">J14-J15-J20</f>
        <v>6000</v>
      </c>
      <c r="K21" s="27" t="n">
        <f aca="false">K14-K15-K20</f>
        <v>7500</v>
      </c>
      <c r="L21" s="27" t="n">
        <f aca="false">L14-L15-L20</f>
        <v>9000</v>
      </c>
      <c r="M21" s="27" t="n">
        <f aca="false">M14-M15-M20</f>
        <v>10500</v>
      </c>
      <c r="N21" s="27" t="n">
        <f aca="false">N14-N15-N20</f>
        <v>12000</v>
      </c>
      <c r="O21" s="27" t="n">
        <f aca="false">O14-O15-O20</f>
        <v>13500</v>
      </c>
      <c r="P21" s="27" t="n">
        <f aca="false">P14-P15-P20</f>
        <v>15000</v>
      </c>
      <c r="Q21" s="27" t="n">
        <f aca="false">Q14-Q15-Q20</f>
        <v>15000</v>
      </c>
      <c r="R21" s="27" t="n">
        <f aca="false">R14-R15-R20</f>
        <v>16500</v>
      </c>
      <c r="S21" s="27" t="n">
        <f aca="false">S14-S15-S20</f>
        <v>16500</v>
      </c>
      <c r="T21" s="27" t="n">
        <f aca="false">T14-T15-T20</f>
        <v>18000</v>
      </c>
      <c r="U21" s="27" t="n">
        <f aca="false">U14-U15-U20</f>
        <v>18000</v>
      </c>
      <c r="V21" s="27" t="n">
        <f aca="false">V14-V15-V20</f>
        <v>18000</v>
      </c>
      <c r="W21" s="27" t="n">
        <f aca="false">W14-W15-W20</f>
        <v>19500</v>
      </c>
      <c r="X21" s="27" t="n">
        <f aca="false">X14-X15-X20</f>
        <v>19500</v>
      </c>
      <c r="Y21" s="27" t="n">
        <f aca="false">Y14-Y15-Y20</f>
        <v>19500</v>
      </c>
      <c r="Z21" s="27" t="n">
        <f aca="false">Z14-Z15-Z20</f>
        <v>21000</v>
      </c>
      <c r="AA21" s="27" t="n">
        <f aca="false">AA14-AA15-AA20</f>
        <v>21000</v>
      </c>
      <c r="AB21" s="27" t="n">
        <f aca="false">AB14-AB15-AB20</f>
        <v>21000</v>
      </c>
      <c r="AC21" s="27" t="n">
        <f aca="false">AC14-AC15-AC20</f>
        <v>22500</v>
      </c>
      <c r="AD21" s="27" t="n">
        <f aca="false">AD14-AD15-AD20</f>
        <v>22500</v>
      </c>
      <c r="AE21" s="27" t="n">
        <f aca="false">AE14-AE15-AE20</f>
        <v>22500</v>
      </c>
      <c r="AF21" s="27" t="n">
        <f aca="false">AF14-AF15-AF20</f>
        <v>22500</v>
      </c>
      <c r="AG21" s="27" t="n">
        <f aca="false">AG14-AG15-AG20</f>
        <v>22500</v>
      </c>
      <c r="AH21" s="27" t="n">
        <f aca="false">AH14-AH15-AH20</f>
        <v>22500</v>
      </c>
      <c r="AI21" s="27" t="n">
        <f aca="false">AI14-AI15-AI20</f>
        <v>22500</v>
      </c>
      <c r="AJ21" s="27" t="n">
        <f aca="false">AJ14-AJ15-AJ20</f>
        <v>22500</v>
      </c>
      <c r="AK21" s="27" t="n">
        <f aca="false">AK14-AK15-AK20</f>
        <v>22500</v>
      </c>
      <c r="AL21" s="27" t="n">
        <f aca="false">AL14-AL15-AL20</f>
        <v>22500</v>
      </c>
      <c r="AM21" s="27" t="n">
        <f aca="false">AM14-AM15-AM20</f>
        <v>22500</v>
      </c>
      <c r="AN21" s="3"/>
    </row>
    <row r="22" customFormat="false" ht="24" hidden="false" customHeight="true" outlineLevel="0" collapsed="false">
      <c r="A22" s="1"/>
      <c r="B22" s="1"/>
      <c r="C22" s="8" t="s">
        <v>177</v>
      </c>
      <c r="D22" s="11" t="n">
        <f aca="false">IF(D$5&gt;假设!$D$25,假设!$D$15,0)</f>
        <v>0</v>
      </c>
      <c r="E22" s="11" t="n">
        <f aca="false">IF(E$5&gt;假设!$D$25,假设!$D$15,0)</f>
        <v>0</v>
      </c>
      <c r="F22" s="11" t="n">
        <f aca="false">IF(F$5&gt;假设!$D$25,假设!$D$15,0)</f>
        <v>0</v>
      </c>
      <c r="G22" s="11" t="n">
        <f aca="false">IF(G$5&gt;假设!$D$25,假设!$D$15,0)</f>
        <v>0</v>
      </c>
      <c r="H22" s="11" t="n">
        <f aca="false">IF(H$5&gt;假设!$D$25,假设!$D$15,0)</f>
        <v>15000</v>
      </c>
      <c r="I22" s="11" t="n">
        <f aca="false">IF(I$5&gt;假设!$D$25,假设!$D$15,0)</f>
        <v>15000</v>
      </c>
      <c r="J22" s="11" t="n">
        <f aca="false">IF(J$5&gt;假设!$D$25,假设!$D$15,0)</f>
        <v>15000</v>
      </c>
      <c r="K22" s="11" t="n">
        <f aca="false">IF(K$5&gt;假设!$D$25,假设!$D$15,0)</f>
        <v>15000</v>
      </c>
      <c r="L22" s="11" t="n">
        <f aca="false">IF(L$5&gt;假设!$D$25,假设!$D$15,0)</f>
        <v>15000</v>
      </c>
      <c r="M22" s="11" t="n">
        <f aca="false">IF(M$5&gt;假设!$D$25,假设!$D$15,0)</f>
        <v>15000</v>
      </c>
      <c r="N22" s="11" t="n">
        <f aca="false">IF(N$5&gt;假设!$D$25,假设!$D$15,0)</f>
        <v>15000</v>
      </c>
      <c r="O22" s="11" t="n">
        <f aca="false">IF(O$5&gt;假设!$D$25,假设!$D$15,0)</f>
        <v>15000</v>
      </c>
      <c r="P22" s="11" t="n">
        <f aca="false">IF(P$5&gt;假设!$D$25,假设!$D$15,0)</f>
        <v>15000</v>
      </c>
      <c r="Q22" s="11" t="n">
        <f aca="false">IF(Q$5&gt;假设!$D$25,假设!$D$15,0)</f>
        <v>15000</v>
      </c>
      <c r="R22" s="11" t="n">
        <f aca="false">IF(R$5&gt;假设!$D$25,假设!$D$15,0)</f>
        <v>15000</v>
      </c>
      <c r="S22" s="11" t="n">
        <f aca="false">IF(S$5&gt;假设!$D$25,假设!$D$15,0)</f>
        <v>15000</v>
      </c>
      <c r="T22" s="11" t="n">
        <f aca="false">IF(T$5&gt;假设!$D$25,假设!$D$15,0)</f>
        <v>15000</v>
      </c>
      <c r="U22" s="11" t="n">
        <f aca="false">IF(U$5&gt;假设!$D$25,假设!$D$15,0)</f>
        <v>15000</v>
      </c>
      <c r="V22" s="11" t="n">
        <f aca="false">IF(V$5&gt;假设!$D$25,假设!$D$15,0)</f>
        <v>15000</v>
      </c>
      <c r="W22" s="11" t="n">
        <f aca="false">IF(W$5&gt;假设!$D$25,假设!$D$15,0)</f>
        <v>15000</v>
      </c>
      <c r="X22" s="11" t="n">
        <f aca="false">IF(X$5&gt;假设!$D$25,假设!$D$15,0)</f>
        <v>15000</v>
      </c>
      <c r="Y22" s="11" t="n">
        <f aca="false">IF(Y$5&gt;假设!$D$25,假设!$D$15,0)</f>
        <v>15000</v>
      </c>
      <c r="Z22" s="11" t="n">
        <f aca="false">IF(Z$5&gt;假设!$D$25,假设!$D$15,0)</f>
        <v>15000</v>
      </c>
      <c r="AA22" s="11" t="n">
        <f aca="false">IF(AA$5&gt;假设!$D$25,假设!$D$15,0)</f>
        <v>15000</v>
      </c>
      <c r="AB22" s="11" t="n">
        <f aca="false">IF(AB$5&gt;假设!$D$25,假设!$D$15,0)</f>
        <v>15000</v>
      </c>
      <c r="AC22" s="11" t="n">
        <f aca="false">IF(AC$5&gt;假设!$D$25,假设!$D$15,0)</f>
        <v>15000</v>
      </c>
      <c r="AD22" s="11" t="n">
        <f aca="false">IF(AD$5&gt;假设!$D$25,假设!$D$15,0)</f>
        <v>15000</v>
      </c>
      <c r="AE22" s="11" t="n">
        <f aca="false">IF(AE$5&gt;假设!$D$25,假设!$D$15,0)</f>
        <v>15000</v>
      </c>
      <c r="AF22" s="11" t="n">
        <f aca="false">IF(AF$5&gt;假设!$D$25,假设!$D$15,0)</f>
        <v>15000</v>
      </c>
      <c r="AG22" s="11" t="n">
        <f aca="false">IF(AG$5&gt;假设!$D$25,假设!$D$15,0)</f>
        <v>15000</v>
      </c>
      <c r="AH22" s="11" t="n">
        <f aca="false">IF(AH$5&gt;假设!$D$25,假设!$D$15,0)</f>
        <v>15000</v>
      </c>
      <c r="AI22" s="11" t="n">
        <f aca="false">IF(AI$5&gt;假设!$D$25,假设!$D$15,0)</f>
        <v>15000</v>
      </c>
      <c r="AJ22" s="11" t="n">
        <f aca="false">IF(AJ$5&gt;假设!$D$25,假设!$D$15,0)</f>
        <v>15000</v>
      </c>
      <c r="AK22" s="11" t="n">
        <f aca="false">IF(AK$5&gt;假设!$D$25,假设!$D$15,0)</f>
        <v>15000</v>
      </c>
      <c r="AL22" s="11" t="n">
        <f aca="false">IF(AL$5&gt;假设!$D$25,假设!$D$15,0)</f>
        <v>15000</v>
      </c>
      <c r="AM22" s="11" t="n">
        <f aca="false">IF(AM$5&gt;假设!$D$25,假设!$D$15,0)</f>
        <v>15000</v>
      </c>
      <c r="AN22" s="3"/>
    </row>
    <row r="23" customFormat="false" ht="24" hidden="false" customHeight="true" outlineLevel="0" collapsed="false">
      <c r="A23" s="1"/>
      <c r="B23" s="1"/>
      <c r="C23" s="8" t="s">
        <v>178</v>
      </c>
      <c r="D23" s="11" t="n">
        <f aca="false">IF(D$5&lt;=假设!$D$25,假设!$D$18,0)</f>
        <v>12000</v>
      </c>
      <c r="E23" s="11" t="n">
        <f aca="false">IF(E$5&lt;=假设!$D$25,假设!$D$18,0)</f>
        <v>12000</v>
      </c>
      <c r="F23" s="11" t="n">
        <f aca="false">IF(F$5&lt;=假设!$D$25,假设!$D$18,0)</f>
        <v>12000</v>
      </c>
      <c r="G23" s="11" t="n">
        <f aca="false">IF(G$5&lt;=假设!$D$25,假设!$D$18,0)</f>
        <v>12000</v>
      </c>
      <c r="H23" s="11" t="n">
        <f aca="false">IF(H$5&lt;=假设!$D$25,假设!$D$18,0)</f>
        <v>0</v>
      </c>
      <c r="I23" s="11" t="n">
        <f aca="false">IF(I$5&lt;=假设!$D$25,假设!$D$18,0)</f>
        <v>0</v>
      </c>
      <c r="J23" s="11" t="n">
        <f aca="false">IF(J$5&lt;=假设!$D$25,假设!$D$18,0)</f>
        <v>0</v>
      </c>
      <c r="K23" s="11" t="n">
        <f aca="false">IF(K$5&lt;=假设!$D$25,假设!$D$18,0)</f>
        <v>0</v>
      </c>
      <c r="L23" s="11" t="n">
        <f aca="false">IF(L$5&lt;=假设!$D$25,假设!$D$18,0)</f>
        <v>0</v>
      </c>
      <c r="M23" s="11" t="n">
        <f aca="false">IF(M$5&lt;=假设!$D$25,假设!$D$18,0)</f>
        <v>0</v>
      </c>
      <c r="N23" s="11" t="n">
        <f aca="false">IF(N$5&lt;=假设!$D$25,假设!$D$18,0)</f>
        <v>0</v>
      </c>
      <c r="O23" s="11" t="n">
        <f aca="false">IF(O$5&lt;=假设!$D$25,假设!$D$18,0)</f>
        <v>0</v>
      </c>
      <c r="P23" s="11" t="n">
        <f aca="false">IF(P$5&lt;=假设!$D$25,假设!$D$18,0)</f>
        <v>0</v>
      </c>
      <c r="Q23" s="11" t="n">
        <f aca="false">IF(Q$5&lt;=假设!$D$25,假设!$D$18,0)</f>
        <v>0</v>
      </c>
      <c r="R23" s="11" t="n">
        <f aca="false">IF(R$5&lt;=假设!$D$25,假设!$D$18,0)</f>
        <v>0</v>
      </c>
      <c r="S23" s="11" t="n">
        <f aca="false">IF(S$5&lt;=假设!$D$25,假设!$D$18,0)</f>
        <v>0</v>
      </c>
      <c r="T23" s="11" t="n">
        <f aca="false">IF(T$5&lt;=假设!$D$25,假设!$D$18,0)</f>
        <v>0</v>
      </c>
      <c r="U23" s="11" t="n">
        <f aca="false">IF(U$5&lt;=假设!$D$25,假设!$D$18,0)</f>
        <v>0</v>
      </c>
      <c r="V23" s="11" t="n">
        <f aca="false">IF(V$5&lt;=假设!$D$25,假设!$D$18,0)</f>
        <v>0</v>
      </c>
      <c r="W23" s="11" t="n">
        <f aca="false">IF(W$5&lt;=假设!$D$25,假设!$D$18,0)</f>
        <v>0</v>
      </c>
      <c r="X23" s="11" t="n">
        <f aca="false">IF(X$5&lt;=假设!$D$25,假设!$D$18,0)</f>
        <v>0</v>
      </c>
      <c r="Y23" s="11" t="n">
        <f aca="false">IF(Y$5&lt;=假设!$D$25,假设!$D$18,0)</f>
        <v>0</v>
      </c>
      <c r="Z23" s="11" t="n">
        <f aca="false">IF(Z$5&lt;=假设!$D$25,假设!$D$18,0)</f>
        <v>0</v>
      </c>
      <c r="AA23" s="11" t="n">
        <f aca="false">IF(AA$5&lt;=假设!$D$25,假设!$D$18,0)</f>
        <v>0</v>
      </c>
      <c r="AB23" s="11" t="n">
        <f aca="false">IF(AB$5&lt;=假设!$D$25,假设!$D$18,0)</f>
        <v>0</v>
      </c>
      <c r="AC23" s="11" t="n">
        <f aca="false">IF(AC$5&lt;=假设!$D$25,假设!$D$18,0)</f>
        <v>0</v>
      </c>
      <c r="AD23" s="11" t="n">
        <f aca="false">IF(AD$5&lt;=假设!$D$25,假设!$D$18,0)</f>
        <v>0</v>
      </c>
      <c r="AE23" s="11" t="n">
        <f aca="false">IF(AE$5&lt;=假设!$D$25,假设!$D$18,0)</f>
        <v>0</v>
      </c>
      <c r="AF23" s="11" t="n">
        <f aca="false">IF(AF$5&lt;=假设!$D$25,假设!$D$18,0)</f>
        <v>0</v>
      </c>
      <c r="AG23" s="11" t="n">
        <f aca="false">IF(AG$5&lt;=假设!$D$25,假设!$D$18,0)</f>
        <v>0</v>
      </c>
      <c r="AH23" s="11" t="n">
        <f aca="false">IF(AH$5&lt;=假设!$D$25,假设!$D$18,0)</f>
        <v>0</v>
      </c>
      <c r="AI23" s="11" t="n">
        <f aca="false">IF(AI$5&lt;=假设!$D$25,假设!$D$18,0)</f>
        <v>0</v>
      </c>
      <c r="AJ23" s="11" t="n">
        <f aca="false">IF(AJ$5&lt;=假设!$D$25,假设!$D$18,0)</f>
        <v>0</v>
      </c>
      <c r="AK23" s="11" t="n">
        <f aca="false">IF(AK$5&lt;=假设!$D$25,假设!$D$18,0)</f>
        <v>0</v>
      </c>
      <c r="AL23" s="11" t="n">
        <f aca="false">IF(AL$5&lt;=假设!$D$25,假设!$D$18,0)</f>
        <v>0</v>
      </c>
      <c r="AM23" s="11" t="n">
        <f aca="false">IF(AM$5&lt;=假设!$D$25,假设!$D$18,0)</f>
        <v>0</v>
      </c>
      <c r="AN23" s="3"/>
    </row>
    <row r="24" customFormat="false" ht="24" hidden="false" customHeight="true" outlineLevel="0" collapsed="false">
      <c r="A24" s="1"/>
      <c r="B24" s="1"/>
      <c r="C24" s="25" t="s">
        <v>179</v>
      </c>
      <c r="D24" s="27" t="n">
        <f aca="false">D18-D20-D22-D23-D10</f>
        <v>-12000</v>
      </c>
      <c r="E24" s="27" t="n">
        <f aca="false">E18-E20-E22-E23-E10</f>
        <v>-12000</v>
      </c>
      <c r="F24" s="27" t="n">
        <f aca="false">F18-F20-F22-F23-F10</f>
        <v>-12000</v>
      </c>
      <c r="G24" s="27" t="n">
        <f aca="false">G18-G20-G22-G23-G10</f>
        <v>-12000</v>
      </c>
      <c r="H24" s="27" t="n">
        <f aca="false">H18-H20-H22-H23-H10</f>
        <v>-14000</v>
      </c>
      <c r="I24" s="27" t="n">
        <f aca="false">I18-I20-I22-I23-I10</f>
        <v>-14150</v>
      </c>
      <c r="J24" s="27" t="n">
        <f aca="false">J18-J20-J22-J23-J10</f>
        <v>-12725</v>
      </c>
      <c r="K24" s="27" t="n">
        <f aca="false">K18-K20-K22-K23-K10</f>
        <v>-11300</v>
      </c>
      <c r="L24" s="27" t="n">
        <f aca="false">L18-L20-L22-L23-L10</f>
        <v>-9875</v>
      </c>
      <c r="M24" s="27" t="n">
        <f aca="false">M18-M20-M22-M23-M10</f>
        <v>-8450</v>
      </c>
      <c r="N24" s="27" t="n">
        <f aca="false">N18-N20-N22-N23-N10</f>
        <v>-7025</v>
      </c>
      <c r="O24" s="27" t="n">
        <f aca="false">O18-O20-O22-O23-O10</f>
        <v>-5600</v>
      </c>
      <c r="P24" s="27" t="n">
        <f aca="false">P18-P20-P22-P23-P10</f>
        <v>-4175</v>
      </c>
      <c r="Q24" s="27" t="n">
        <f aca="false">Q18-Q20-Q22-Q23-Q10</f>
        <v>-2750</v>
      </c>
      <c r="R24" s="27" t="n">
        <f aca="false">R18-R20-R22-R23-R10</f>
        <v>-2750</v>
      </c>
      <c r="S24" s="27" t="n">
        <f aca="false">S18-S20-S22-S23-S10</f>
        <v>-1325</v>
      </c>
      <c r="T24" s="27" t="n">
        <f aca="false">T18-T20-T22-T23-T10</f>
        <v>-1325</v>
      </c>
      <c r="U24" s="27" t="n">
        <f aca="false">U18-U20-U22-U23-U10</f>
        <v>99.9999999999978</v>
      </c>
      <c r="V24" s="27" t="n">
        <f aca="false">V18-V20-V22-V23-V10</f>
        <v>99.9999999999978</v>
      </c>
      <c r="W24" s="27" t="n">
        <f aca="false">W18-W20-W22-W23-W10</f>
        <v>99.9999999999977</v>
      </c>
      <c r="X24" s="27" t="n">
        <f aca="false">X18-X20-X22-X23-X10</f>
        <v>1525</v>
      </c>
      <c r="Y24" s="27" t="n">
        <f aca="false">Y18-Y20-Y22-Y23-Y10</f>
        <v>1525</v>
      </c>
      <c r="Z24" s="27" t="n">
        <f aca="false">Z18-Z20-Z22-Z23-Z10</f>
        <v>1525</v>
      </c>
      <c r="AA24" s="27" t="n">
        <f aca="false">AA18-AA20-AA22-AA23-AA10</f>
        <v>2950</v>
      </c>
      <c r="AB24" s="27" t="n">
        <f aca="false">AB18-AB20-AB22-AB23-AB10</f>
        <v>2950</v>
      </c>
      <c r="AC24" s="27" t="n">
        <f aca="false">AC18-AC20-AC22-AC23-AC10</f>
        <v>2950</v>
      </c>
      <c r="AD24" s="27" t="n">
        <f aca="false">AD18-AD20-AD22-AD23-AD10</f>
        <v>4375</v>
      </c>
      <c r="AE24" s="27" t="n">
        <f aca="false">AE18-AE20-AE22-AE23-AE10</f>
        <v>4375</v>
      </c>
      <c r="AF24" s="27" t="n">
        <f aca="false">AF18-AF20-AF22-AF23-AF10</f>
        <v>4375</v>
      </c>
      <c r="AG24" s="27" t="n">
        <f aca="false">AG18-AG20-AG22-AG23-AG10</f>
        <v>4375</v>
      </c>
      <c r="AH24" s="27" t="n">
        <f aca="false">AH18-AH20-AH22-AH23-AH10</f>
        <v>4375</v>
      </c>
      <c r="AI24" s="27" t="n">
        <f aca="false">AI18-AI20-AI22-AI23-AI10</f>
        <v>4375</v>
      </c>
      <c r="AJ24" s="27" t="n">
        <f aca="false">AJ18-AJ20-AJ22-AJ23-AJ10</f>
        <v>4375</v>
      </c>
      <c r="AK24" s="27" t="n">
        <f aca="false">AK18-AK20-AK22-AK23-AK10</f>
        <v>4375</v>
      </c>
      <c r="AL24" s="27" t="n">
        <f aca="false">AL18-AL20-AL22-AL23-AL10</f>
        <v>4375</v>
      </c>
      <c r="AM24" s="27" t="n">
        <f aca="false">AM18-AM20-AM22-AM23-AM10</f>
        <v>4375</v>
      </c>
      <c r="AN24" s="3"/>
    </row>
    <row r="25" customFormat="false" ht="24" hidden="false" customHeight="true" outlineLevel="0" collapsed="false">
      <c r="A25" s="1"/>
      <c r="B25" s="1"/>
      <c r="C25" s="8" t="s">
        <v>180</v>
      </c>
      <c r="D25" s="10" t="str">
        <f aca="false">IF(D14=0,"不适用",D24/D14)</f>
        <v>不适用</v>
      </c>
      <c r="E25" s="10" t="str">
        <f aca="false">IF(E14=0,"不适用",E24/E14)</f>
        <v>不适用</v>
      </c>
      <c r="F25" s="10" t="str">
        <f aca="false">IF(F14=0,"不适用",F24/F14)</f>
        <v>不适用</v>
      </c>
      <c r="G25" s="10" t="str">
        <f aca="false">IF(G14=0,"不适用",G24/G14)</f>
        <v>不适用</v>
      </c>
      <c r="H25" s="10" t="n">
        <f aca="false">IF(H14=0,"不适用",H24/H14)</f>
        <v>-2.33333333333333</v>
      </c>
      <c r="I25" s="10" t="n">
        <f aca="false">IF(I14=0,"不适用",I24/I14)</f>
        <v>-1.57222222222222</v>
      </c>
      <c r="J25" s="10" t="n">
        <f aca="false">IF(J14=0,"不适用",J24/J14)</f>
        <v>-1.06041666666667</v>
      </c>
      <c r="K25" s="10" t="n">
        <f aca="false">IF(K14=0,"不适用",K24/K14)</f>
        <v>-0.753333333333333</v>
      </c>
      <c r="L25" s="10" t="n">
        <f aca="false">IF(L14=0,"不适用",L24/L14)</f>
        <v>-0.548611111111111</v>
      </c>
      <c r="M25" s="10" t="n">
        <f aca="false">IF(M14=0,"不适用",M24/M14)</f>
        <v>-0.402380952380952</v>
      </c>
      <c r="N25" s="10" t="n">
        <f aca="false">IF(N14=0,"不适用",N24/N14)</f>
        <v>-0.292708333333333</v>
      </c>
      <c r="O25" s="10" t="n">
        <f aca="false">IF(O14=0,"不适用",O24/O14)</f>
        <v>-0.207407407407407</v>
      </c>
      <c r="P25" s="10" t="n">
        <f aca="false">IF(P14=0,"不适用",P24/P14)</f>
        <v>-0.139166666666667</v>
      </c>
      <c r="Q25" s="10" t="n">
        <f aca="false">IF(Q14=0,"不适用",Q24/Q14)</f>
        <v>-0.0916666666666667</v>
      </c>
      <c r="R25" s="10" t="n">
        <f aca="false">IF(R14=0,"不适用",R24/R14)</f>
        <v>-0.0833333333333333</v>
      </c>
      <c r="S25" s="10" t="n">
        <f aca="false">IF(S14=0,"不适用",S24/S14)</f>
        <v>-0.0401515151515152</v>
      </c>
      <c r="T25" s="10" t="n">
        <f aca="false">IF(T14=0,"不适用",T24/T14)</f>
        <v>-0.0368055555555556</v>
      </c>
      <c r="U25" s="10" t="n">
        <f aca="false">IF(U14=0,"不适用",U24/U14)</f>
        <v>0.00277777777777772</v>
      </c>
      <c r="V25" s="10" t="n">
        <f aca="false">IF(V14=0,"不适用",V24/V14)</f>
        <v>0.00277777777777772</v>
      </c>
      <c r="W25" s="10" t="n">
        <f aca="false">IF(W14=0,"不适用",W24/W14)</f>
        <v>0.00256410256410251</v>
      </c>
      <c r="X25" s="10" t="n">
        <f aca="false">IF(X14=0,"不适用",X24/X14)</f>
        <v>0.0391025641025641</v>
      </c>
      <c r="Y25" s="10" t="n">
        <f aca="false">IF(Y14=0,"不适用",Y24/Y14)</f>
        <v>0.0391025641025641</v>
      </c>
      <c r="Z25" s="10" t="n">
        <f aca="false">IF(Z14=0,"不适用",Z24/Z14)</f>
        <v>0.0363095238095238</v>
      </c>
      <c r="AA25" s="10" t="n">
        <f aca="false">IF(AA14=0,"不适用",AA24/AA14)</f>
        <v>0.0702380952380952</v>
      </c>
      <c r="AB25" s="10" t="n">
        <f aca="false">IF(AB14=0,"不适用",AB24/AB14)</f>
        <v>0.0702380952380952</v>
      </c>
      <c r="AC25" s="10" t="n">
        <f aca="false">IF(AC14=0,"不适用",AC24/AC14)</f>
        <v>0.0655555555555555</v>
      </c>
      <c r="AD25" s="10" t="n">
        <f aca="false">IF(AD14=0,"不适用",AD24/AD14)</f>
        <v>0.0972222222222222</v>
      </c>
      <c r="AE25" s="10" t="n">
        <f aca="false">IF(AE14=0,"不适用",AE24/AE14)</f>
        <v>0.0972222222222222</v>
      </c>
      <c r="AF25" s="10" t="n">
        <f aca="false">IF(AF14=0,"不适用",AF24/AF14)</f>
        <v>0.0972222222222222</v>
      </c>
      <c r="AG25" s="10" t="n">
        <f aca="false">IF(AG14=0,"不适用",AG24/AG14)</f>
        <v>0.0972222222222222</v>
      </c>
      <c r="AH25" s="10" t="n">
        <f aca="false">IF(AH14=0,"不适用",AH24/AH14)</f>
        <v>0.0972222222222222</v>
      </c>
      <c r="AI25" s="10" t="n">
        <f aca="false">IF(AI14=0,"不适用",AI24/AI14)</f>
        <v>0.0972222222222222</v>
      </c>
      <c r="AJ25" s="10" t="n">
        <f aca="false">IF(AJ14=0,"不适用",AJ24/AJ14)</f>
        <v>0.0972222222222222</v>
      </c>
      <c r="AK25" s="10" t="n">
        <f aca="false">IF(AK14=0,"不适用",AK24/AK14)</f>
        <v>0.0972222222222222</v>
      </c>
      <c r="AL25" s="10" t="n">
        <f aca="false">IF(AL14=0,"不适用",AL24/AL14)</f>
        <v>0.0972222222222222</v>
      </c>
      <c r="AM25" s="10" t="n">
        <f aca="false">IF(AM14=0,"不适用",AM24/AM14)</f>
        <v>0.0972222222222222</v>
      </c>
      <c r="AN25" s="3"/>
    </row>
    <row r="26" customFormat="false" ht="24" hidden="false" customHeight="true" outlineLevel="0" collapsed="false">
      <c r="A26" s="1"/>
      <c r="B26" s="1"/>
      <c r="C26" s="8" t="s">
        <v>181</v>
      </c>
      <c r="D26" s="11" t="n">
        <f aca="false">IF(D$5&lt;=假设!$D$25,(假设!$D$16+假设!$D$17)/假设!$D$25,0)</f>
        <v>47437.5</v>
      </c>
      <c r="E26" s="11" t="n">
        <f aca="false">IF(E$5&lt;=假设!$D$25,(假设!$D$16+假设!$D$17)/假设!$D$25,0)</f>
        <v>47437.5</v>
      </c>
      <c r="F26" s="11" t="n">
        <f aca="false">IF(F$5&lt;=假设!$D$25,(假设!$D$16+假设!$D$17)/假设!$D$25,0)</f>
        <v>47437.5</v>
      </c>
      <c r="G26" s="11" t="n">
        <f aca="false">IF(G$5&lt;=假设!$D$25,(假设!$D$16+假设!$D$17)/假设!$D$25,0)</f>
        <v>47437.5</v>
      </c>
      <c r="H26" s="11" t="n">
        <f aca="false">IF(H$5&lt;=假设!$D$25,(假设!$D$16+假设!$D$17)/假设!$D$25,0)</f>
        <v>0</v>
      </c>
      <c r="I26" s="11" t="n">
        <f aca="false">IF(I$5&lt;=假设!$D$25,(假设!$D$16+假设!$D$17)/假设!$D$25,0)</f>
        <v>0</v>
      </c>
      <c r="J26" s="11" t="n">
        <f aca="false">IF(J$5&lt;=假设!$D$25,(假设!$D$16+假设!$D$17)/假设!$D$25,0)</f>
        <v>0</v>
      </c>
      <c r="K26" s="11" t="n">
        <f aca="false">IF(K$5&lt;=假设!$D$25,(假设!$D$16+假设!$D$17)/假设!$D$25,0)</f>
        <v>0</v>
      </c>
      <c r="L26" s="11" t="n">
        <f aca="false">IF(L$5&lt;=假设!$D$25,(假设!$D$16+假设!$D$17)/假设!$D$25,0)</f>
        <v>0</v>
      </c>
      <c r="M26" s="11" t="n">
        <f aca="false">IF(M$5&lt;=假设!$D$25,(假设!$D$16+假设!$D$17)/假设!$D$25,0)</f>
        <v>0</v>
      </c>
      <c r="N26" s="11" t="n">
        <f aca="false">IF(N$5&lt;=假设!$D$25,(假设!$D$16+假设!$D$17)/假设!$D$25,0)</f>
        <v>0</v>
      </c>
      <c r="O26" s="11" t="n">
        <f aca="false">IF(O$5&lt;=假设!$D$25,(假设!$D$16+假设!$D$17)/假设!$D$25,0)</f>
        <v>0</v>
      </c>
      <c r="P26" s="11" t="n">
        <f aca="false">IF(P$5&lt;=假设!$D$25,(假设!$D$16+假设!$D$17)/假设!$D$25,0)</f>
        <v>0</v>
      </c>
      <c r="Q26" s="11" t="n">
        <f aca="false">IF(Q$5&lt;=假设!$D$25,(假设!$D$16+假设!$D$17)/假设!$D$25,0)</f>
        <v>0</v>
      </c>
      <c r="R26" s="11" t="n">
        <f aca="false">IF(R$5&lt;=假设!$D$25,(假设!$D$16+假设!$D$17)/假设!$D$25,0)</f>
        <v>0</v>
      </c>
      <c r="S26" s="11" t="n">
        <f aca="false">IF(S$5&lt;=假设!$D$25,(假设!$D$16+假设!$D$17)/假设!$D$25,0)</f>
        <v>0</v>
      </c>
      <c r="T26" s="11" t="n">
        <f aca="false">IF(T$5&lt;=假设!$D$25,(假设!$D$16+假设!$D$17)/假设!$D$25,0)</f>
        <v>0</v>
      </c>
      <c r="U26" s="11" t="n">
        <f aca="false">IF(U$5&lt;=假设!$D$25,(假设!$D$16+假设!$D$17)/假设!$D$25,0)</f>
        <v>0</v>
      </c>
      <c r="V26" s="11" t="n">
        <f aca="false">IF(V$5&lt;=假设!$D$25,(假设!$D$16+假设!$D$17)/假设!$D$25,0)</f>
        <v>0</v>
      </c>
      <c r="W26" s="11" t="n">
        <f aca="false">IF(W$5&lt;=假设!$D$25,(假设!$D$16+假设!$D$17)/假设!$D$25,0)</f>
        <v>0</v>
      </c>
      <c r="X26" s="11" t="n">
        <f aca="false">IF(X$5&lt;=假设!$D$25,(假设!$D$16+假设!$D$17)/假设!$D$25,0)</f>
        <v>0</v>
      </c>
      <c r="Y26" s="11" t="n">
        <f aca="false">IF(Y$5&lt;=假设!$D$25,(假设!$D$16+假设!$D$17)/假设!$D$25,0)</f>
        <v>0</v>
      </c>
      <c r="Z26" s="11" t="n">
        <f aca="false">IF(Z$5&lt;=假设!$D$25,(假设!$D$16+假设!$D$17)/假设!$D$25,0)</f>
        <v>0</v>
      </c>
      <c r="AA26" s="11" t="n">
        <f aca="false">IF(AA$5&lt;=假设!$D$25,(假设!$D$16+假设!$D$17)/假设!$D$25,0)</f>
        <v>0</v>
      </c>
      <c r="AB26" s="11" t="n">
        <f aca="false">IF(AB$5&lt;=假设!$D$25,(假设!$D$16+假设!$D$17)/假设!$D$25,0)</f>
        <v>0</v>
      </c>
      <c r="AC26" s="11" t="n">
        <f aca="false">IF(AC$5&lt;=假设!$D$25,(假设!$D$16+假设!$D$17)/假设!$D$25,0)</f>
        <v>0</v>
      </c>
      <c r="AD26" s="11" t="n">
        <f aca="false">IF(AD$5&lt;=假设!$D$25,(假设!$D$16+假设!$D$17)/假设!$D$25,0)</f>
        <v>0</v>
      </c>
      <c r="AE26" s="11" t="n">
        <f aca="false">IF(AE$5&lt;=假设!$D$25,(假设!$D$16+假设!$D$17)/假设!$D$25,0)</f>
        <v>0</v>
      </c>
      <c r="AF26" s="11" t="n">
        <f aca="false">IF(AF$5&lt;=假设!$D$25,(假设!$D$16+假设!$D$17)/假设!$D$25,0)</f>
        <v>0</v>
      </c>
      <c r="AG26" s="11" t="n">
        <f aca="false">IF(AG$5&lt;=假设!$D$25,(假设!$D$16+假设!$D$17)/假设!$D$25,0)</f>
        <v>0</v>
      </c>
      <c r="AH26" s="11" t="n">
        <f aca="false">IF(AH$5&lt;=假设!$D$25,(假设!$D$16+假设!$D$17)/假设!$D$25,0)</f>
        <v>0</v>
      </c>
      <c r="AI26" s="11" t="n">
        <f aca="false">IF(AI$5&lt;=假设!$D$25,(假设!$D$16+假设!$D$17)/假设!$D$25,0)</f>
        <v>0</v>
      </c>
      <c r="AJ26" s="11" t="n">
        <f aca="false">IF(AJ$5&lt;=假设!$D$25,(假设!$D$16+假设!$D$17)/假设!$D$25,0)</f>
        <v>0</v>
      </c>
      <c r="AK26" s="11" t="n">
        <f aca="false">IF(AK$5&lt;=假设!$D$25,(假设!$D$16+假设!$D$17)/假设!$D$25,0)</f>
        <v>0</v>
      </c>
      <c r="AL26" s="11" t="n">
        <f aca="false">IF(AL$5&lt;=假设!$D$25,(假设!$D$16+假设!$D$17)/假设!$D$25,0)</f>
        <v>0</v>
      </c>
      <c r="AM26" s="11" t="n">
        <f aca="false">IF(AM$5&lt;=假设!$D$25,(假设!$D$16+假设!$D$17)/假设!$D$25,0)</f>
        <v>0</v>
      </c>
      <c r="AN26" s="3"/>
    </row>
    <row r="27" customFormat="false" ht="24" hidden="false" customHeight="true" outlineLevel="0" collapsed="false">
      <c r="A27" s="1"/>
      <c r="B27" s="1"/>
      <c r="C27" s="8" t="s">
        <v>182</v>
      </c>
      <c r="D27" s="11" t="n">
        <f aca="false">IF(D$5=假设!$D$25+1,假设!$D$19,0)</f>
        <v>0</v>
      </c>
      <c r="E27" s="11" t="n">
        <f aca="false">IF(E$5=假设!$D$25+1,假设!$D$19,0)</f>
        <v>0</v>
      </c>
      <c r="F27" s="11" t="n">
        <f aca="false">IF(F$5=假设!$D$25+1,假设!$D$19,0)</f>
        <v>0</v>
      </c>
      <c r="G27" s="11" t="n">
        <f aca="false">IF(G$5=假设!$D$25+1,假设!$D$19,0)</f>
        <v>0</v>
      </c>
      <c r="H27" s="11" t="n">
        <f aca="false">IF(H$5=假设!$D$25+1,假设!$D$19,0)</f>
        <v>50000</v>
      </c>
      <c r="I27" s="11" t="n">
        <f aca="false">IF(I$5=假设!$D$25+1,假设!$D$19,0)</f>
        <v>0</v>
      </c>
      <c r="J27" s="11" t="n">
        <f aca="false">IF(J$5=假设!$D$25+1,假设!$D$19,0)</f>
        <v>0</v>
      </c>
      <c r="K27" s="11" t="n">
        <f aca="false">IF(K$5=假设!$D$25+1,假设!$D$19,0)</f>
        <v>0</v>
      </c>
      <c r="L27" s="11" t="n">
        <f aca="false">IF(L$5=假设!$D$25+1,假设!$D$19,0)</f>
        <v>0</v>
      </c>
      <c r="M27" s="11" t="n">
        <f aca="false">IF(M$5=假设!$D$25+1,假设!$D$19,0)</f>
        <v>0</v>
      </c>
      <c r="N27" s="11" t="n">
        <f aca="false">IF(N$5=假设!$D$25+1,假设!$D$19,0)</f>
        <v>0</v>
      </c>
      <c r="O27" s="11" t="n">
        <f aca="false">IF(O$5=假设!$D$25+1,假设!$D$19,0)</f>
        <v>0</v>
      </c>
      <c r="P27" s="11" t="n">
        <f aca="false">IF(P$5=假设!$D$25+1,假设!$D$19,0)</f>
        <v>0</v>
      </c>
      <c r="Q27" s="11" t="n">
        <f aca="false">IF(Q$5=假设!$D$25+1,假设!$D$19,0)</f>
        <v>0</v>
      </c>
      <c r="R27" s="11" t="n">
        <f aca="false">IF(R$5=假设!$D$25+1,假设!$D$19,0)</f>
        <v>0</v>
      </c>
      <c r="S27" s="11" t="n">
        <f aca="false">IF(S$5=假设!$D$25+1,假设!$D$19,0)</f>
        <v>0</v>
      </c>
      <c r="T27" s="11" t="n">
        <f aca="false">IF(T$5=假设!$D$25+1,假设!$D$19,0)</f>
        <v>0</v>
      </c>
      <c r="U27" s="11" t="n">
        <f aca="false">IF(U$5=假设!$D$25+1,假设!$D$19,0)</f>
        <v>0</v>
      </c>
      <c r="V27" s="11" t="n">
        <f aca="false">IF(V$5=假设!$D$25+1,假设!$D$19,0)</f>
        <v>0</v>
      </c>
      <c r="W27" s="11" t="n">
        <f aca="false">IF(W$5=假设!$D$25+1,假设!$D$19,0)</f>
        <v>0</v>
      </c>
      <c r="X27" s="11" t="n">
        <f aca="false">IF(X$5=假设!$D$25+1,假设!$D$19,0)</f>
        <v>0</v>
      </c>
      <c r="Y27" s="11" t="n">
        <f aca="false">IF(Y$5=假设!$D$25+1,假设!$D$19,0)</f>
        <v>0</v>
      </c>
      <c r="Z27" s="11" t="n">
        <f aca="false">IF(Z$5=假设!$D$25+1,假设!$D$19,0)</f>
        <v>0</v>
      </c>
      <c r="AA27" s="11" t="n">
        <f aca="false">IF(AA$5=假设!$D$25+1,假设!$D$19,0)</f>
        <v>0</v>
      </c>
      <c r="AB27" s="11" t="n">
        <f aca="false">IF(AB$5=假设!$D$25+1,假设!$D$19,0)</f>
        <v>0</v>
      </c>
      <c r="AC27" s="11" t="n">
        <f aca="false">IF(AC$5=假设!$D$25+1,假设!$D$19,0)</f>
        <v>0</v>
      </c>
      <c r="AD27" s="11" t="n">
        <f aca="false">IF(AD$5=假设!$D$25+1,假设!$D$19,0)</f>
        <v>0</v>
      </c>
      <c r="AE27" s="11" t="n">
        <f aca="false">IF(AE$5=假设!$D$25+1,假设!$D$19,0)</f>
        <v>0</v>
      </c>
      <c r="AF27" s="11" t="n">
        <f aca="false">IF(AF$5=假设!$D$25+1,假设!$D$19,0)</f>
        <v>0</v>
      </c>
      <c r="AG27" s="11" t="n">
        <f aca="false">IF(AG$5=假设!$D$25+1,假设!$D$19,0)</f>
        <v>0</v>
      </c>
      <c r="AH27" s="11" t="n">
        <f aca="false">IF(AH$5=假设!$D$25+1,假设!$D$19,0)</f>
        <v>0</v>
      </c>
      <c r="AI27" s="11" t="n">
        <f aca="false">IF(AI$5=假设!$D$25+1,假设!$D$19,0)</f>
        <v>0</v>
      </c>
      <c r="AJ27" s="11" t="n">
        <f aca="false">IF(AJ$5=假设!$D$25+1,假设!$D$19,0)</f>
        <v>0</v>
      </c>
      <c r="AK27" s="11" t="n">
        <f aca="false">IF(AK$5=假设!$D$25+1,假设!$D$19,0)</f>
        <v>0</v>
      </c>
      <c r="AL27" s="11" t="n">
        <f aca="false">IF(AL$5=假设!$D$25+1,假设!$D$19,0)</f>
        <v>0</v>
      </c>
      <c r="AM27" s="11" t="n">
        <f aca="false">IF(AM$5=假设!$D$25+1,假设!$D$19,0)</f>
        <v>0</v>
      </c>
      <c r="AN27" s="3"/>
    </row>
    <row r="28" customFormat="false" ht="24" hidden="false" customHeight="true" outlineLevel="0" collapsed="false">
      <c r="A28" s="1"/>
      <c r="B28" s="1"/>
      <c r="C28" s="25" t="s">
        <v>183</v>
      </c>
      <c r="D28" s="27" t="n">
        <f aca="false">D24-D26-D27-D14+D33</f>
        <v>-59437.5</v>
      </c>
      <c r="E28" s="27" t="n">
        <f aca="false">E24-E26-E27-E14+E33</f>
        <v>-59437.5</v>
      </c>
      <c r="F28" s="27" t="n">
        <f aca="false">F24-F26-F27-F14+F33</f>
        <v>-59437.5</v>
      </c>
      <c r="G28" s="27" t="n">
        <f aca="false">G24-G26-G27-G14+G33</f>
        <v>-59437.5</v>
      </c>
      <c r="H28" s="27" t="n">
        <f aca="false">H24-H26-H27-H14+H33</f>
        <v>-64000</v>
      </c>
      <c r="I28" s="27" t="n">
        <f aca="false">I24-I26-I27-I14+I33</f>
        <v>-14150</v>
      </c>
      <c r="J28" s="27" t="n">
        <f aca="false">J24-J26-J27-J14+J33</f>
        <v>-12725</v>
      </c>
      <c r="K28" s="27" t="n">
        <f aca="false">K24-K26-K27-K14+K33</f>
        <v>-11300</v>
      </c>
      <c r="L28" s="27" t="n">
        <f aca="false">L24-L26-L27-L14+L33</f>
        <v>-9875</v>
      </c>
      <c r="M28" s="27" t="n">
        <f aca="false">M24-M26-M27-M14+M33</f>
        <v>-8450</v>
      </c>
      <c r="N28" s="27" t="n">
        <f aca="false">N24-N26-N27-N14+N33</f>
        <v>-7025</v>
      </c>
      <c r="O28" s="27" t="n">
        <f aca="false">O24-O26-O27-O14+O33</f>
        <v>-5600</v>
      </c>
      <c r="P28" s="27" t="n">
        <f aca="false">P24-P26-P27-P14+P33</f>
        <v>-4175</v>
      </c>
      <c r="Q28" s="27" t="n">
        <f aca="false">Q24-Q26-Q27-Q14+Q33</f>
        <v>-2750</v>
      </c>
      <c r="R28" s="27" t="n">
        <f aca="false">R24-R26-R27-R14+R33</f>
        <v>-2750</v>
      </c>
      <c r="S28" s="27" t="n">
        <f aca="false">S24-S26-S27-S14+S33</f>
        <v>-1325</v>
      </c>
      <c r="T28" s="27" t="n">
        <f aca="false">T24-T26-T27-T14+T33</f>
        <v>-1325</v>
      </c>
      <c r="U28" s="27" t="n">
        <f aca="false">U24-U26-U27-U14+U33</f>
        <v>100</v>
      </c>
      <c r="V28" s="27" t="n">
        <f aca="false">V24-V26-V27-V14+V33</f>
        <v>100</v>
      </c>
      <c r="W28" s="27" t="n">
        <f aca="false">W24-W26-W27-W14+W33</f>
        <v>100</v>
      </c>
      <c r="X28" s="27" t="n">
        <f aca="false">X24-X26-X27-X14+X33</f>
        <v>1525</v>
      </c>
      <c r="Y28" s="27" t="n">
        <f aca="false">Y24-Y26-Y27-Y14+Y33</f>
        <v>1525</v>
      </c>
      <c r="Z28" s="27" t="n">
        <f aca="false">Z24-Z26-Z27-Z14+Z33</f>
        <v>1525</v>
      </c>
      <c r="AA28" s="27" t="n">
        <f aca="false">AA24-AA26-AA27-AA14+AA33</f>
        <v>2950</v>
      </c>
      <c r="AB28" s="27" t="n">
        <f aca="false">AB24-AB26-AB27-AB14+AB33</f>
        <v>2950</v>
      </c>
      <c r="AC28" s="27" t="n">
        <f aca="false">AC24-AC26-AC27-AC14+AC33</f>
        <v>2950</v>
      </c>
      <c r="AD28" s="27" t="n">
        <f aca="false">AD24-AD26-AD27-AD14+AD33</f>
        <v>4375</v>
      </c>
      <c r="AE28" s="27" t="n">
        <f aca="false">AE24-AE26-AE27-AE14+AE33</f>
        <v>4375</v>
      </c>
      <c r="AF28" s="27" t="n">
        <f aca="false">AF24-AF26-AF27-AF14+AF33</f>
        <v>4375</v>
      </c>
      <c r="AG28" s="27" t="n">
        <f aca="false">AG24-AG26-AG27-AG14+AG33</f>
        <v>4375</v>
      </c>
      <c r="AH28" s="27" t="n">
        <f aca="false">AH24-AH26-AH27-AH14+AH33</f>
        <v>4375</v>
      </c>
      <c r="AI28" s="27" t="n">
        <f aca="false">AI24-AI26-AI27-AI14+AI33</f>
        <v>4375</v>
      </c>
      <c r="AJ28" s="27" t="n">
        <f aca="false">AJ24-AJ26-AJ27-AJ14+AJ33</f>
        <v>4375</v>
      </c>
      <c r="AK28" s="27" t="n">
        <f aca="false">AK24-AK26-AK27-AK14+AK33</f>
        <v>4375</v>
      </c>
      <c r="AL28" s="27" t="n">
        <f aca="false">AL24-AL26-AL27-AL14+AL33</f>
        <v>4375</v>
      </c>
      <c r="AM28" s="27" t="n">
        <f aca="false">AM24-AM26-AM27-AM14+AM33</f>
        <v>4375</v>
      </c>
      <c r="AN28" s="3"/>
    </row>
    <row r="29" customFormat="false" ht="24" hidden="false" customHeight="true" outlineLevel="0" collapsed="false">
      <c r="A29" s="1"/>
      <c r="B29" s="1"/>
      <c r="C29" s="25" t="s">
        <v>184</v>
      </c>
      <c r="D29" s="27" t="n">
        <f aca="false">D28</f>
        <v>-59437.5</v>
      </c>
      <c r="E29" s="27" t="n">
        <f aca="false">D29+E28</f>
        <v>-118875</v>
      </c>
      <c r="F29" s="27" t="n">
        <f aca="false">E29+F28</f>
        <v>-178312.5</v>
      </c>
      <c r="G29" s="27" t="n">
        <f aca="false">F29+G28</f>
        <v>-237750</v>
      </c>
      <c r="H29" s="27" t="n">
        <f aca="false">G29+H28</f>
        <v>-301750</v>
      </c>
      <c r="I29" s="27" t="n">
        <f aca="false">H29+I28</f>
        <v>-315900</v>
      </c>
      <c r="J29" s="27" t="n">
        <f aca="false">I29+J28</f>
        <v>-328625</v>
      </c>
      <c r="K29" s="27" t="n">
        <f aca="false">J29+K28</f>
        <v>-339925</v>
      </c>
      <c r="L29" s="27" t="n">
        <f aca="false">K29+L28</f>
        <v>-349800</v>
      </c>
      <c r="M29" s="27" t="n">
        <f aca="false">L29+M28</f>
        <v>-358250</v>
      </c>
      <c r="N29" s="27" t="n">
        <f aca="false">M29+N28</f>
        <v>-365275</v>
      </c>
      <c r="O29" s="27" t="n">
        <f aca="false">N29+O28</f>
        <v>-370875</v>
      </c>
      <c r="P29" s="27" t="n">
        <f aca="false">O29+P28</f>
        <v>-375050</v>
      </c>
      <c r="Q29" s="27" t="n">
        <f aca="false">P29+Q28</f>
        <v>-377800</v>
      </c>
      <c r="R29" s="27" t="n">
        <f aca="false">Q29+R28</f>
        <v>-380550</v>
      </c>
      <c r="S29" s="27" t="n">
        <f aca="false">R29+S28</f>
        <v>-381875</v>
      </c>
      <c r="T29" s="27" t="n">
        <f aca="false">S29+T28</f>
        <v>-383200</v>
      </c>
      <c r="U29" s="27" t="n">
        <f aca="false">T29+U28</f>
        <v>-383100</v>
      </c>
      <c r="V29" s="27" t="n">
        <f aca="false">U29+V28</f>
        <v>-383000</v>
      </c>
      <c r="W29" s="27" t="n">
        <f aca="false">V29+W28</f>
        <v>-382900</v>
      </c>
      <c r="X29" s="27" t="n">
        <f aca="false">W29+X28</f>
        <v>-381375</v>
      </c>
      <c r="Y29" s="27" t="n">
        <f aca="false">X29+Y28</f>
        <v>-379850</v>
      </c>
      <c r="Z29" s="27" t="n">
        <f aca="false">Y29+Z28</f>
        <v>-378325</v>
      </c>
      <c r="AA29" s="27" t="n">
        <f aca="false">Z29+AA28</f>
        <v>-375375</v>
      </c>
      <c r="AB29" s="27" t="n">
        <f aca="false">AA29+AB28</f>
        <v>-372425</v>
      </c>
      <c r="AC29" s="27" t="n">
        <f aca="false">AB29+AC28</f>
        <v>-369475</v>
      </c>
      <c r="AD29" s="27" t="n">
        <f aca="false">AC29+AD28</f>
        <v>-365100</v>
      </c>
      <c r="AE29" s="27" t="n">
        <f aca="false">AD29+AE28</f>
        <v>-360725</v>
      </c>
      <c r="AF29" s="27" t="n">
        <f aca="false">AE29+AF28</f>
        <v>-356350</v>
      </c>
      <c r="AG29" s="27" t="n">
        <f aca="false">AF29+AG28</f>
        <v>-351975</v>
      </c>
      <c r="AH29" s="27" t="n">
        <f aca="false">AG29+AH28</f>
        <v>-347600</v>
      </c>
      <c r="AI29" s="27" t="n">
        <f aca="false">AH29+AI28</f>
        <v>-343225</v>
      </c>
      <c r="AJ29" s="27" t="n">
        <f aca="false">AI29+AJ28</f>
        <v>-338850</v>
      </c>
      <c r="AK29" s="27" t="n">
        <f aca="false">AJ29+AK28</f>
        <v>-334475</v>
      </c>
      <c r="AL29" s="27" t="n">
        <f aca="false">AK29+AL28</f>
        <v>-330100</v>
      </c>
      <c r="AM29" s="27" t="n">
        <f aca="false">AL29+AM28</f>
        <v>-325725</v>
      </c>
      <c r="AN29" s="3"/>
    </row>
    <row r="30" customFormat="false" ht="24" hidden="false" customHeight="true" outlineLevel="0" collapsed="false">
      <c r="A30" s="1"/>
      <c r="B30" s="1"/>
      <c r="C30" s="8" t="s">
        <v>185</v>
      </c>
      <c r="D30" s="11" t="n">
        <f aca="false">假设!$D$23+D29</f>
        <v>-59437.5</v>
      </c>
      <c r="E30" s="11" t="n">
        <f aca="false">假设!$D$23+E29</f>
        <v>-118875</v>
      </c>
      <c r="F30" s="11" t="n">
        <f aca="false">假设!$D$23+F29</f>
        <v>-178312.5</v>
      </c>
      <c r="G30" s="11" t="n">
        <f aca="false">假设!$D$23+G29</f>
        <v>-237750</v>
      </c>
      <c r="H30" s="11" t="n">
        <f aca="false">假设!$D$23+H29</f>
        <v>-301750</v>
      </c>
      <c r="I30" s="11" t="n">
        <f aca="false">假设!$D$23+I29</f>
        <v>-315900</v>
      </c>
      <c r="J30" s="11" t="n">
        <f aca="false">假设!$D$23+J29</f>
        <v>-328625</v>
      </c>
      <c r="K30" s="11" t="n">
        <f aca="false">假设!$D$23+K29</f>
        <v>-339925</v>
      </c>
      <c r="L30" s="11" t="n">
        <f aca="false">假设!$D$23+L29</f>
        <v>-349800</v>
      </c>
      <c r="M30" s="11" t="n">
        <f aca="false">假设!$D$23+M29</f>
        <v>-358250</v>
      </c>
      <c r="N30" s="11" t="n">
        <f aca="false">假设!$D$23+N29</f>
        <v>-365275</v>
      </c>
      <c r="O30" s="11" t="n">
        <f aca="false">假设!$D$23+O29</f>
        <v>-370875</v>
      </c>
      <c r="P30" s="11" t="n">
        <f aca="false">假设!$D$23+P29</f>
        <v>-375050</v>
      </c>
      <c r="Q30" s="11" t="n">
        <f aca="false">假设!$D$23+Q29</f>
        <v>-377800</v>
      </c>
      <c r="R30" s="11" t="n">
        <f aca="false">假设!$D$23+R29</f>
        <v>-380550</v>
      </c>
      <c r="S30" s="11" t="n">
        <f aca="false">假设!$D$23+S29</f>
        <v>-381875</v>
      </c>
      <c r="T30" s="11" t="n">
        <f aca="false">假设!$D$23+T29</f>
        <v>-383200</v>
      </c>
      <c r="U30" s="11" t="n">
        <f aca="false">假设!$D$23+U29</f>
        <v>-383100</v>
      </c>
      <c r="V30" s="11" t="n">
        <f aca="false">假设!$D$23+V29</f>
        <v>-383000</v>
      </c>
      <c r="W30" s="11" t="n">
        <f aca="false">假设!$D$23+W29</f>
        <v>-382900</v>
      </c>
      <c r="X30" s="11" t="n">
        <f aca="false">假设!$D$23+X29</f>
        <v>-381375</v>
      </c>
      <c r="Y30" s="11" t="n">
        <f aca="false">假设!$D$23+Y29</f>
        <v>-379850</v>
      </c>
      <c r="Z30" s="11" t="n">
        <f aca="false">假设!$D$23+Z29</f>
        <v>-378325</v>
      </c>
      <c r="AA30" s="11" t="n">
        <f aca="false">假设!$D$23+AA29</f>
        <v>-375375</v>
      </c>
      <c r="AB30" s="11" t="n">
        <f aca="false">假设!$D$23+AB29</f>
        <v>-372425</v>
      </c>
      <c r="AC30" s="11" t="n">
        <f aca="false">假设!$D$23+AC29</f>
        <v>-369475</v>
      </c>
      <c r="AD30" s="11" t="n">
        <f aca="false">假设!$D$23+AD29</f>
        <v>-365100</v>
      </c>
      <c r="AE30" s="11" t="n">
        <f aca="false">假设!$D$23+AE29</f>
        <v>-360725</v>
      </c>
      <c r="AF30" s="11" t="n">
        <f aca="false">假设!$D$23+AF29</f>
        <v>-356350</v>
      </c>
      <c r="AG30" s="11" t="n">
        <f aca="false">假设!$D$23+AG29</f>
        <v>-351975</v>
      </c>
      <c r="AH30" s="11" t="n">
        <f aca="false">假设!$D$23+AH29</f>
        <v>-347600</v>
      </c>
      <c r="AI30" s="11" t="n">
        <f aca="false">假设!$D$23+AI29</f>
        <v>-343225</v>
      </c>
      <c r="AJ30" s="11" t="n">
        <f aca="false">假设!$D$23+AJ29</f>
        <v>-338850</v>
      </c>
      <c r="AK30" s="11" t="n">
        <f aca="false">假设!$D$23+AK29</f>
        <v>-334475</v>
      </c>
      <c r="AL30" s="11" t="n">
        <f aca="false">假设!$D$23+AL29</f>
        <v>-330100</v>
      </c>
      <c r="AM30" s="11" t="n">
        <f aca="false">假设!$D$23+AM29</f>
        <v>-325725</v>
      </c>
      <c r="AN30" s="3"/>
    </row>
    <row r="31" customFormat="false" ht="24" hidden="false" customHeight="true" outlineLevel="0" collapsed="false">
      <c r="A31" s="1"/>
      <c r="B31" s="1"/>
      <c r="C31" s="8" t="s">
        <v>186</v>
      </c>
      <c r="D31" s="11" t="n">
        <f aca="false">IF(AND(D$5&gt;假设!$D$25,D29&gt;=0),D$5,999)</f>
        <v>999</v>
      </c>
      <c r="E31" s="11" t="n">
        <f aca="false">IF(AND(E$5&gt;假设!$D$25,E29&gt;=0),E$5,999)</f>
        <v>999</v>
      </c>
      <c r="F31" s="11" t="n">
        <f aca="false">IF(AND(F$5&gt;假设!$D$25,F29&gt;=0),F$5,999)</f>
        <v>999</v>
      </c>
      <c r="G31" s="11" t="n">
        <f aca="false">IF(AND(G$5&gt;假设!$D$25,G29&gt;=0),G$5,999)</f>
        <v>999</v>
      </c>
      <c r="H31" s="11" t="n">
        <f aca="false">IF(AND(H$5&gt;假设!$D$25,H29&gt;=0),H$5,999)</f>
        <v>999</v>
      </c>
      <c r="I31" s="11" t="n">
        <f aca="false">IF(AND(I$5&gt;假设!$D$25,I29&gt;=0),I$5,999)</f>
        <v>999</v>
      </c>
      <c r="J31" s="11" t="n">
        <f aca="false">IF(AND(J$5&gt;假设!$D$25,J29&gt;=0),J$5,999)</f>
        <v>999</v>
      </c>
      <c r="K31" s="11" t="n">
        <f aca="false">IF(AND(K$5&gt;假设!$D$25,K29&gt;=0),K$5,999)</f>
        <v>999</v>
      </c>
      <c r="L31" s="11" t="n">
        <f aca="false">IF(AND(L$5&gt;假设!$D$25,L29&gt;=0),L$5,999)</f>
        <v>999</v>
      </c>
      <c r="M31" s="11" t="n">
        <f aca="false">IF(AND(M$5&gt;假设!$D$25,M29&gt;=0),M$5,999)</f>
        <v>999</v>
      </c>
      <c r="N31" s="11" t="n">
        <f aca="false">IF(AND(N$5&gt;假设!$D$25,N29&gt;=0),N$5,999)</f>
        <v>999</v>
      </c>
      <c r="O31" s="11" t="n">
        <f aca="false">IF(AND(O$5&gt;假设!$D$25,O29&gt;=0),O$5,999)</f>
        <v>999</v>
      </c>
      <c r="P31" s="11" t="n">
        <f aca="false">IF(AND(P$5&gt;假设!$D$25,P29&gt;=0),P$5,999)</f>
        <v>999</v>
      </c>
      <c r="Q31" s="11" t="n">
        <f aca="false">IF(AND(Q$5&gt;假设!$D$25,Q29&gt;=0),Q$5,999)</f>
        <v>999</v>
      </c>
      <c r="R31" s="11" t="n">
        <f aca="false">IF(AND(R$5&gt;假设!$D$25,R29&gt;=0),R$5,999)</f>
        <v>999</v>
      </c>
      <c r="S31" s="11" t="n">
        <f aca="false">IF(AND(S$5&gt;假设!$D$25,S29&gt;=0),S$5,999)</f>
        <v>999</v>
      </c>
      <c r="T31" s="11" t="n">
        <f aca="false">IF(AND(T$5&gt;假设!$D$25,T29&gt;=0),T$5,999)</f>
        <v>999</v>
      </c>
      <c r="U31" s="11" t="n">
        <f aca="false">IF(AND(U$5&gt;假设!$D$25,U29&gt;=0),U$5,999)</f>
        <v>999</v>
      </c>
      <c r="V31" s="11" t="n">
        <f aca="false">IF(AND(V$5&gt;假设!$D$25,V29&gt;=0),V$5,999)</f>
        <v>999</v>
      </c>
      <c r="W31" s="11" t="n">
        <f aca="false">IF(AND(W$5&gt;假设!$D$25,W29&gt;=0),W$5,999)</f>
        <v>999</v>
      </c>
      <c r="X31" s="11" t="n">
        <f aca="false">IF(AND(X$5&gt;假设!$D$25,X29&gt;=0),X$5,999)</f>
        <v>999</v>
      </c>
      <c r="Y31" s="11" t="n">
        <f aca="false">IF(AND(Y$5&gt;假设!$D$25,Y29&gt;=0),Y$5,999)</f>
        <v>999</v>
      </c>
      <c r="Z31" s="11" t="n">
        <f aca="false">IF(AND(Z$5&gt;假设!$D$25,Z29&gt;=0),Z$5,999)</f>
        <v>999</v>
      </c>
      <c r="AA31" s="11" t="n">
        <f aca="false">IF(AND(AA$5&gt;假设!$D$25,AA29&gt;=0),AA$5,999)</f>
        <v>999</v>
      </c>
      <c r="AB31" s="11" t="n">
        <f aca="false">IF(AND(AB$5&gt;假设!$D$25,AB29&gt;=0),AB$5,999)</f>
        <v>999</v>
      </c>
      <c r="AC31" s="11" t="n">
        <f aca="false">IF(AND(AC$5&gt;假设!$D$25,AC29&gt;=0),AC$5,999)</f>
        <v>999</v>
      </c>
      <c r="AD31" s="11" t="n">
        <f aca="false">IF(AND(AD$5&gt;假设!$D$25,AD29&gt;=0),AD$5,999)</f>
        <v>999</v>
      </c>
      <c r="AE31" s="11" t="n">
        <f aca="false">IF(AND(AE$5&gt;假设!$D$25,AE29&gt;=0),AE$5,999)</f>
        <v>999</v>
      </c>
      <c r="AF31" s="11" t="n">
        <f aca="false">IF(AND(AF$5&gt;假设!$D$25,AF29&gt;=0),AF$5,999)</f>
        <v>999</v>
      </c>
      <c r="AG31" s="11" t="n">
        <f aca="false">IF(AND(AG$5&gt;假设!$D$25,AG29&gt;=0),AG$5,999)</f>
        <v>999</v>
      </c>
      <c r="AH31" s="11" t="n">
        <f aca="false">IF(AND(AH$5&gt;假设!$D$25,AH29&gt;=0),AH$5,999)</f>
        <v>999</v>
      </c>
      <c r="AI31" s="11" t="n">
        <f aca="false">IF(AND(AI$5&gt;假设!$D$25,AI29&gt;=0),AI$5,999)</f>
        <v>999</v>
      </c>
      <c r="AJ31" s="11" t="n">
        <f aca="false">IF(AND(AJ$5&gt;假设!$D$25,AJ29&gt;=0),AJ$5,999)</f>
        <v>999</v>
      </c>
      <c r="AK31" s="11" t="n">
        <f aca="false">IF(AND(AK$5&gt;假设!$D$25,AK29&gt;=0),AK$5,999)</f>
        <v>999</v>
      </c>
      <c r="AL31" s="11" t="n">
        <f aca="false">IF(AND(AL$5&gt;假设!$D$25,AL29&gt;=0),AL$5,999)</f>
        <v>999</v>
      </c>
      <c r="AM31" s="11" t="n">
        <f aca="false">IF(AND(AM$5&gt;假设!$D$25,AM29&gt;=0),AM$5,999)</f>
        <v>999</v>
      </c>
      <c r="AN31" s="3"/>
    </row>
    <row r="32" customFormat="false" ht="24" hidden="false" customHeight="true" outlineLevel="0" collapsed="false">
      <c r="A32" s="1"/>
      <c r="B32" s="1"/>
      <c r="C32" s="8" t="s">
        <v>187</v>
      </c>
      <c r="D32" s="11" t="n">
        <f aca="false">IF(AND(D$5&gt;假设!$D$25,D24&gt;=0),D$5,999)</f>
        <v>999</v>
      </c>
      <c r="E32" s="11" t="n">
        <f aca="false">IF(AND(E$5&gt;假设!$D$25,E24&gt;=0),E$5,999)</f>
        <v>999</v>
      </c>
      <c r="F32" s="11" t="n">
        <f aca="false">IF(AND(F$5&gt;假设!$D$25,F24&gt;=0),F$5,999)</f>
        <v>999</v>
      </c>
      <c r="G32" s="11" t="n">
        <f aca="false">IF(AND(G$5&gt;假设!$D$25,G24&gt;=0),G$5,999)</f>
        <v>999</v>
      </c>
      <c r="H32" s="11" t="n">
        <f aca="false">IF(AND(H$5&gt;假设!$D$25,H24&gt;=0),H$5,999)</f>
        <v>999</v>
      </c>
      <c r="I32" s="11" t="n">
        <f aca="false">IF(AND(I$5&gt;假设!$D$25,I24&gt;=0),I$5,999)</f>
        <v>999</v>
      </c>
      <c r="J32" s="11" t="n">
        <f aca="false">IF(AND(J$5&gt;假设!$D$25,J24&gt;=0),J$5,999)</f>
        <v>999</v>
      </c>
      <c r="K32" s="11" t="n">
        <f aca="false">IF(AND(K$5&gt;假设!$D$25,K24&gt;=0),K$5,999)</f>
        <v>999</v>
      </c>
      <c r="L32" s="11" t="n">
        <f aca="false">IF(AND(L$5&gt;假设!$D$25,L24&gt;=0),L$5,999)</f>
        <v>999</v>
      </c>
      <c r="M32" s="11" t="n">
        <f aca="false">IF(AND(M$5&gt;假设!$D$25,M24&gt;=0),M$5,999)</f>
        <v>999</v>
      </c>
      <c r="N32" s="11" t="n">
        <f aca="false">IF(AND(N$5&gt;假设!$D$25,N24&gt;=0),N$5,999)</f>
        <v>999</v>
      </c>
      <c r="O32" s="11" t="n">
        <f aca="false">IF(AND(O$5&gt;假设!$D$25,O24&gt;=0),O$5,999)</f>
        <v>999</v>
      </c>
      <c r="P32" s="11" t="n">
        <f aca="false">IF(AND(P$5&gt;假设!$D$25,P24&gt;=0),P$5,999)</f>
        <v>999</v>
      </c>
      <c r="Q32" s="11" t="n">
        <f aca="false">IF(AND(Q$5&gt;假设!$D$25,Q24&gt;=0),Q$5,999)</f>
        <v>999</v>
      </c>
      <c r="R32" s="11" t="n">
        <f aca="false">IF(AND(R$5&gt;假设!$D$25,R24&gt;=0),R$5,999)</f>
        <v>999</v>
      </c>
      <c r="S32" s="11" t="n">
        <f aca="false">IF(AND(S$5&gt;假设!$D$25,S24&gt;=0),S$5,999)</f>
        <v>999</v>
      </c>
      <c r="T32" s="11" t="n">
        <f aca="false">IF(AND(T$5&gt;假设!$D$25,T24&gt;=0),T$5,999)</f>
        <v>999</v>
      </c>
      <c r="U32" s="11" t="n">
        <f aca="false">IF(AND(U$5&gt;假设!$D$25,U24&gt;=0),U$5,999)</f>
        <v>18</v>
      </c>
      <c r="V32" s="11" t="n">
        <f aca="false">IF(AND(V$5&gt;假设!$D$25,V24&gt;=0),V$5,999)</f>
        <v>19</v>
      </c>
      <c r="W32" s="11" t="n">
        <f aca="false">IF(AND(W$5&gt;假设!$D$25,W24&gt;=0),W$5,999)</f>
        <v>20</v>
      </c>
      <c r="X32" s="11" t="n">
        <f aca="false">IF(AND(X$5&gt;假设!$D$25,X24&gt;=0),X$5,999)</f>
        <v>21</v>
      </c>
      <c r="Y32" s="11" t="n">
        <f aca="false">IF(AND(Y$5&gt;假设!$D$25,Y24&gt;=0),Y$5,999)</f>
        <v>22</v>
      </c>
      <c r="Z32" s="11" t="n">
        <f aca="false">IF(AND(Z$5&gt;假设!$D$25,Z24&gt;=0),Z$5,999)</f>
        <v>23</v>
      </c>
      <c r="AA32" s="11" t="n">
        <f aca="false">IF(AND(AA$5&gt;假设!$D$25,AA24&gt;=0),AA$5,999)</f>
        <v>24</v>
      </c>
      <c r="AB32" s="11" t="n">
        <f aca="false">IF(AND(AB$5&gt;假设!$D$25,AB24&gt;=0),AB$5,999)</f>
        <v>25</v>
      </c>
      <c r="AC32" s="11" t="n">
        <f aca="false">IF(AND(AC$5&gt;假设!$D$25,AC24&gt;=0),AC$5,999)</f>
        <v>26</v>
      </c>
      <c r="AD32" s="11" t="n">
        <f aca="false">IF(AND(AD$5&gt;假设!$D$25,AD24&gt;=0),AD$5,999)</f>
        <v>27</v>
      </c>
      <c r="AE32" s="11" t="n">
        <f aca="false">IF(AND(AE$5&gt;假设!$D$25,AE24&gt;=0),AE$5,999)</f>
        <v>28</v>
      </c>
      <c r="AF32" s="11" t="n">
        <f aca="false">IF(AND(AF$5&gt;假设!$D$25,AF24&gt;=0),AF$5,999)</f>
        <v>29</v>
      </c>
      <c r="AG32" s="11" t="n">
        <f aca="false">IF(AND(AG$5&gt;假设!$D$25,AG24&gt;=0),AG$5,999)</f>
        <v>30</v>
      </c>
      <c r="AH32" s="11" t="n">
        <f aca="false">IF(AND(AH$5&gt;假设!$D$25,AH24&gt;=0),AH$5,999)</f>
        <v>31</v>
      </c>
      <c r="AI32" s="11" t="n">
        <f aca="false">IF(AND(AI$5&gt;假设!$D$25,AI24&gt;=0),AI$5,999)</f>
        <v>32</v>
      </c>
      <c r="AJ32" s="11" t="n">
        <f aca="false">IF(AND(AJ$5&gt;假设!$D$25,AJ24&gt;=0),AJ$5,999)</f>
        <v>33</v>
      </c>
      <c r="AK32" s="11" t="n">
        <f aca="false">IF(AND(AK$5&gt;假设!$D$25,AK24&gt;=0),AK$5,999)</f>
        <v>34</v>
      </c>
      <c r="AL32" s="11" t="n">
        <f aca="false">IF(AND(AL$5&gt;假设!$D$25,AL24&gt;=0),AL$5,999)</f>
        <v>35</v>
      </c>
      <c r="AM32" s="11" t="n">
        <f aca="false">IF(AND(AM$5&gt;假设!$D$25,AM24&gt;=0),AM$5,999)</f>
        <v>36</v>
      </c>
      <c r="AN32" s="3"/>
    </row>
    <row r="33" customFormat="false" ht="24" hidden="false" customHeight="true" outlineLevel="0" collapsed="false">
      <c r="A33" s="1"/>
      <c r="B33" s="1"/>
      <c r="C33" s="8" t="s">
        <v>188</v>
      </c>
      <c r="D33" s="11" t="n">
        <f aca="false">IF(假设!$D$52=0,D14,0)</f>
        <v>0</v>
      </c>
      <c r="E33" s="11" t="n">
        <f aca="false">IF(假设!$D$52=0,E14,D14)</f>
        <v>0</v>
      </c>
      <c r="F33" s="11" t="n">
        <f aca="false">IF(假设!$D$52=0,F14,E14)</f>
        <v>0</v>
      </c>
      <c r="G33" s="11" t="n">
        <f aca="false">IF(假设!$D$52=0,G14,F14)</f>
        <v>0</v>
      </c>
      <c r="H33" s="11" t="n">
        <f aca="false">IF(假设!$D$52=0,H14,G14)</f>
        <v>6000</v>
      </c>
      <c r="I33" s="11" t="n">
        <f aca="false">IF(假设!$D$52=0,I14,H14)</f>
        <v>9000</v>
      </c>
      <c r="J33" s="11" t="n">
        <f aca="false">IF(假设!$D$52=0,J14,I14)</f>
        <v>12000</v>
      </c>
      <c r="K33" s="11" t="n">
        <f aca="false">IF(假设!$D$52=0,K14,J14)</f>
        <v>15000</v>
      </c>
      <c r="L33" s="11" t="n">
        <f aca="false">IF(假设!$D$52=0,L14,K14)</f>
        <v>18000</v>
      </c>
      <c r="M33" s="11" t="n">
        <f aca="false">IF(假设!$D$52=0,M14,L14)</f>
        <v>21000</v>
      </c>
      <c r="N33" s="11" t="n">
        <f aca="false">IF(假设!$D$52=0,N14,M14)</f>
        <v>24000</v>
      </c>
      <c r="O33" s="11" t="n">
        <f aca="false">IF(假设!$D$52=0,O14,N14)</f>
        <v>27000</v>
      </c>
      <c r="P33" s="11" t="n">
        <f aca="false">IF(假设!$D$52=0,P14,O14)</f>
        <v>30000</v>
      </c>
      <c r="Q33" s="11" t="n">
        <f aca="false">IF(假设!$D$52=0,Q14,P14)</f>
        <v>30000</v>
      </c>
      <c r="R33" s="11" t="n">
        <f aca="false">IF(假设!$D$52=0,R14,Q14)</f>
        <v>33000</v>
      </c>
      <c r="S33" s="11" t="n">
        <f aca="false">IF(假设!$D$52=0,S14,R14)</f>
        <v>33000</v>
      </c>
      <c r="T33" s="11" t="n">
        <f aca="false">IF(假设!$D$52=0,T14,S14)</f>
        <v>36000</v>
      </c>
      <c r="U33" s="11" t="n">
        <f aca="false">IF(假设!$D$52=0,U14,T14)</f>
        <v>36000</v>
      </c>
      <c r="V33" s="11" t="n">
        <f aca="false">IF(假设!$D$52=0,V14,U14)</f>
        <v>36000</v>
      </c>
      <c r="W33" s="11" t="n">
        <f aca="false">IF(假设!$D$52=0,W14,V14)</f>
        <v>39000</v>
      </c>
      <c r="X33" s="11" t="n">
        <f aca="false">IF(假设!$D$52=0,X14,W14)</f>
        <v>39000</v>
      </c>
      <c r="Y33" s="11" t="n">
        <f aca="false">IF(假设!$D$52=0,Y14,X14)</f>
        <v>39000</v>
      </c>
      <c r="Z33" s="11" t="n">
        <f aca="false">IF(假设!$D$52=0,Z14,Y14)</f>
        <v>42000</v>
      </c>
      <c r="AA33" s="11" t="n">
        <f aca="false">IF(假设!$D$52=0,AA14,Z14)</f>
        <v>42000</v>
      </c>
      <c r="AB33" s="11" t="n">
        <f aca="false">IF(假设!$D$52=0,AB14,AA14)</f>
        <v>42000</v>
      </c>
      <c r="AC33" s="11" t="n">
        <f aca="false">IF(假设!$D$52=0,AC14,AB14)</f>
        <v>45000</v>
      </c>
      <c r="AD33" s="11" t="n">
        <f aca="false">IF(假设!$D$52=0,AD14,AC14)</f>
        <v>45000</v>
      </c>
      <c r="AE33" s="11" t="n">
        <f aca="false">IF(假设!$D$52=0,AE14,AD14)</f>
        <v>45000</v>
      </c>
      <c r="AF33" s="11" t="n">
        <f aca="false">IF(假设!$D$52=0,AF14,AE14)</f>
        <v>45000</v>
      </c>
      <c r="AG33" s="11" t="n">
        <f aca="false">IF(假设!$D$52=0,AG14,AF14)</f>
        <v>45000</v>
      </c>
      <c r="AH33" s="11" t="n">
        <f aca="false">IF(假设!$D$52=0,AH14,AG14)</f>
        <v>45000</v>
      </c>
      <c r="AI33" s="11" t="n">
        <f aca="false">IF(假设!$D$52=0,AI14,AH14)</f>
        <v>45000</v>
      </c>
      <c r="AJ33" s="11" t="n">
        <f aca="false">IF(假设!$D$52=0,AJ14,AI14)</f>
        <v>45000</v>
      </c>
      <c r="AK33" s="11" t="n">
        <f aca="false">IF(假设!$D$52=0,AK14,AJ14)</f>
        <v>45000</v>
      </c>
      <c r="AL33" s="11" t="n">
        <f aca="false">IF(假设!$D$52=0,AL14,AK14)</f>
        <v>45000</v>
      </c>
      <c r="AM33" s="11" t="n">
        <f aca="false">IF(假设!$D$52=0,AM14,AL14)</f>
        <v>45000</v>
      </c>
      <c r="AN33" s="3"/>
    </row>
    <row r="34" customFormat="false" ht="24" hidden="false" customHeight="true" outlineLevel="0" collapsed="false">
      <c r="A34" s="1"/>
      <c r="B34" s="1"/>
      <c r="C34" s="8" t="s">
        <v>189</v>
      </c>
      <c r="D34" s="2" t="n">
        <f aca="false">D14-D33</f>
        <v>0</v>
      </c>
      <c r="E34" s="2" t="n">
        <f aca="false">D34+E14-E33</f>
        <v>0</v>
      </c>
      <c r="F34" s="2" t="n">
        <f aca="false">E34+F14-F33</f>
        <v>0</v>
      </c>
      <c r="G34" s="2" t="n">
        <f aca="false">F34+G14-G33</f>
        <v>0</v>
      </c>
      <c r="H34" s="2" t="n">
        <f aca="false">G34+H14-H33</f>
        <v>0</v>
      </c>
      <c r="I34" s="2" t="n">
        <f aca="false">H34+I14-I33</f>
        <v>0</v>
      </c>
      <c r="J34" s="2" t="n">
        <f aca="false">I34+J14-J33</f>
        <v>0</v>
      </c>
      <c r="K34" s="2" t="n">
        <f aca="false">J34+K14-K33</f>
        <v>0</v>
      </c>
      <c r="L34" s="2" t="n">
        <f aca="false">K34+L14-L33</f>
        <v>0</v>
      </c>
      <c r="M34" s="2" t="n">
        <f aca="false">L34+M14-M33</f>
        <v>0</v>
      </c>
      <c r="N34" s="2" t="n">
        <f aca="false">M34+N14-N33</f>
        <v>0</v>
      </c>
      <c r="O34" s="2" t="n">
        <f aca="false">N34+O14-O33</f>
        <v>0</v>
      </c>
      <c r="P34" s="2" t="n">
        <f aca="false">O34+P14-P33</f>
        <v>0</v>
      </c>
      <c r="Q34" s="2" t="n">
        <f aca="false">P34+Q14-Q33</f>
        <v>0</v>
      </c>
      <c r="R34" s="2" t="n">
        <f aca="false">Q34+R14-R33</f>
        <v>0</v>
      </c>
      <c r="S34" s="2" t="n">
        <f aca="false">R34+S14-S33</f>
        <v>0</v>
      </c>
      <c r="T34" s="2" t="n">
        <f aca="false">S34+T14-T33</f>
        <v>0</v>
      </c>
      <c r="U34" s="2" t="n">
        <f aca="false">T34+U14-U33</f>
        <v>0</v>
      </c>
      <c r="V34" s="2" t="n">
        <f aca="false">U34+V14-V33</f>
        <v>0</v>
      </c>
      <c r="W34" s="2" t="n">
        <f aca="false">V34+W14-W33</f>
        <v>0</v>
      </c>
      <c r="X34" s="2" t="n">
        <f aca="false">W34+X14-X33</f>
        <v>0</v>
      </c>
      <c r="Y34" s="2" t="n">
        <f aca="false">X34+Y14-Y33</f>
        <v>0</v>
      </c>
      <c r="Z34" s="2" t="n">
        <f aca="false">Y34+Z14-Z33</f>
        <v>0</v>
      </c>
      <c r="AA34" s="2" t="n">
        <f aca="false">Z34+AA14-AA33</f>
        <v>0</v>
      </c>
      <c r="AB34" s="2" t="n">
        <f aca="false">AA34+AB14-AB33</f>
        <v>0</v>
      </c>
      <c r="AC34" s="2" t="n">
        <f aca="false">AB34+AC14-AC33</f>
        <v>0</v>
      </c>
      <c r="AD34" s="2" t="n">
        <f aca="false">AC34+AD14-AD33</f>
        <v>0</v>
      </c>
      <c r="AE34" s="2" t="n">
        <f aca="false">AD34+AE14-AE33</f>
        <v>0</v>
      </c>
      <c r="AF34" s="2" t="n">
        <f aca="false">AE34+AF14-AF33</f>
        <v>0</v>
      </c>
      <c r="AG34" s="2" t="n">
        <f aca="false">AF34+AG14-AG33</f>
        <v>0</v>
      </c>
      <c r="AH34" s="2" t="n">
        <f aca="false">AG34+AH14-AH33</f>
        <v>0</v>
      </c>
      <c r="AI34" s="2" t="n">
        <f aca="false">AH34+AI14-AI33</f>
        <v>0</v>
      </c>
      <c r="AJ34" s="2" t="n">
        <f aca="false">AI34+AJ14-AJ33</f>
        <v>0</v>
      </c>
      <c r="AK34" s="2" t="n">
        <f aca="false">AJ34+AK14-AK33</f>
        <v>0</v>
      </c>
      <c r="AL34" s="2" t="n">
        <f aca="false">AK34+AL14-AL33</f>
        <v>0</v>
      </c>
      <c r="AM34" s="2" t="n">
        <f aca="false">AL34+AM14-AM33</f>
        <v>0</v>
      </c>
      <c r="AN34" s="3"/>
    </row>
    <row r="35" customFormat="false" ht="24" hidden="false" customHeight="true" outlineLevel="0" collapsed="false">
      <c r="A35" s="1"/>
      <c r="B35" s="1"/>
      <c r="C35" s="21" t="s">
        <v>190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</row>
    <row r="36" customFormat="false" ht="24" hidden="false" customHeight="true" outlineLevel="0" collapsed="false">
      <c r="A36" s="1"/>
      <c r="B36" s="1"/>
      <c r="C36" s="5" t="s">
        <v>191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</row>
    <row r="37" customFormat="false" ht="24" hidden="false" customHeight="true" outlineLevel="0" collapsed="false">
      <c r="A37" s="1"/>
      <c r="B37" s="1"/>
      <c r="C37" s="5" t="s">
        <v>192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customFormat="false" ht="24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customFormat="false" ht="24" hidden="false" customHeight="true" outlineLevel="0" collapsed="false">
      <c r="A39" s="1"/>
      <c r="B39" s="1"/>
      <c r="C39" s="8" t="s">
        <v>193</v>
      </c>
      <c r="D39" s="20" t="n">
        <f aca="false">假设!$D$50</f>
        <v>0.03</v>
      </c>
      <c r="E39" s="20" t="n">
        <f aca="false">假设!$D$50</f>
        <v>0.03</v>
      </c>
      <c r="F39" s="20" t="n">
        <f aca="false">假设!$D$50</f>
        <v>0.03</v>
      </c>
      <c r="G39" s="20" t="n">
        <f aca="false">假设!$D$50</f>
        <v>0.03</v>
      </c>
      <c r="H39" s="20" t="n">
        <f aca="false">假设!$D$50</f>
        <v>0.03</v>
      </c>
      <c r="I39" s="20" t="n">
        <f aca="false">假设!$D$50</f>
        <v>0.03</v>
      </c>
      <c r="J39" s="20" t="n">
        <f aca="false">假设!$D$50</f>
        <v>0.03</v>
      </c>
      <c r="K39" s="20" t="n">
        <f aca="false">假设!$D$50</f>
        <v>0.03</v>
      </c>
      <c r="L39" s="20" t="n">
        <f aca="false">假设!$D$50</f>
        <v>0.03</v>
      </c>
      <c r="M39" s="20" t="n">
        <f aca="false">假设!$D$50</f>
        <v>0.03</v>
      </c>
      <c r="N39" s="20" t="n">
        <f aca="false">假设!$D$50</f>
        <v>0.03</v>
      </c>
      <c r="O39" s="20" t="n">
        <f aca="false">假设!$D$50</f>
        <v>0.03</v>
      </c>
      <c r="P39" s="20" t="n">
        <f aca="false">假设!$D$50</f>
        <v>0.03</v>
      </c>
      <c r="Q39" s="20" t="n">
        <f aca="false">假设!$D$50</f>
        <v>0.03</v>
      </c>
      <c r="R39" s="20" t="n">
        <f aca="false">假设!$D$50</f>
        <v>0.03</v>
      </c>
      <c r="S39" s="20" t="n">
        <f aca="false">假设!$D$50</f>
        <v>0.03</v>
      </c>
      <c r="T39" s="20" t="n">
        <f aca="false">假设!$D$50</f>
        <v>0.03</v>
      </c>
      <c r="U39" s="20" t="n">
        <f aca="false">假设!$D$50</f>
        <v>0.03</v>
      </c>
      <c r="V39" s="20" t="n">
        <f aca="false">假设!$D$50</f>
        <v>0.03</v>
      </c>
      <c r="W39" s="20" t="n">
        <f aca="false">假设!$D$50</f>
        <v>0.03</v>
      </c>
      <c r="X39" s="20" t="n">
        <f aca="false">假设!$D$50</f>
        <v>0.03</v>
      </c>
      <c r="Y39" s="20" t="n">
        <f aca="false">假设!$D$50</f>
        <v>0.03</v>
      </c>
      <c r="Z39" s="20" t="n">
        <f aca="false">假设!$D$50</f>
        <v>0.03</v>
      </c>
      <c r="AA39" s="20" t="n">
        <f aca="false">假设!$D$50</f>
        <v>0.03</v>
      </c>
      <c r="AB39" s="20" t="n">
        <f aca="false">假设!$D$50</f>
        <v>0.03</v>
      </c>
      <c r="AC39" s="20" t="n">
        <f aca="false">假设!$D$50</f>
        <v>0.03</v>
      </c>
      <c r="AD39" s="20" t="n">
        <f aca="false">假设!$D$50</f>
        <v>0.03</v>
      </c>
      <c r="AE39" s="20" t="n">
        <f aca="false">假设!$D$50</f>
        <v>0.03</v>
      </c>
      <c r="AF39" s="20" t="n">
        <f aca="false">假设!$D$50</f>
        <v>0.03</v>
      </c>
      <c r="AG39" s="20" t="n">
        <f aca="false">假设!$D$50</f>
        <v>0.03</v>
      </c>
      <c r="AH39" s="20" t="n">
        <f aca="false">假设!$D$50</f>
        <v>0.03</v>
      </c>
      <c r="AI39" s="20" t="n">
        <f aca="false">假设!$D$50</f>
        <v>0.03</v>
      </c>
      <c r="AJ39" s="20" t="n">
        <f aca="false">假设!$D$50</f>
        <v>0.03</v>
      </c>
      <c r="AK39" s="20" t="n">
        <f aca="false">假设!$D$50</f>
        <v>0.03</v>
      </c>
      <c r="AL39" s="20" t="n">
        <f aca="false">假设!$D$50</f>
        <v>0.03</v>
      </c>
      <c r="AM39" s="20" t="n">
        <f aca="false">假设!$D$50</f>
        <v>0.03</v>
      </c>
      <c r="AN39" s="3"/>
    </row>
    <row r="40" customFormat="false" ht="24" hidden="false" customHeight="true" outlineLevel="0" collapsed="false">
      <c r="A40" s="1"/>
      <c r="B40" s="1"/>
      <c r="C40" s="8" t="s">
        <v>194</v>
      </c>
      <c r="D40" s="11" t="n">
        <f aca="false">D28-(单位经济!$D$7*D39+假设!$D$51-假设!$D$11)*D6</f>
        <v>-59437.5</v>
      </c>
      <c r="E40" s="11" t="n">
        <f aca="false">E28-(单位经济!$D$7*E39+假设!$D$51-假设!$D$11)*E6</f>
        <v>-59437.5</v>
      </c>
      <c r="F40" s="11" t="n">
        <f aca="false">F28-(单位经济!$D$7*F39+假设!$D$51-假设!$D$11)*F6</f>
        <v>-59437.5</v>
      </c>
      <c r="G40" s="11" t="n">
        <f aca="false">G28-(单位经济!$D$7*G39+假设!$D$51-假设!$D$11)*G6</f>
        <v>-59437.5</v>
      </c>
      <c r="H40" s="11" t="n">
        <f aca="false">H28-(单位经济!$D$7*H39+假设!$D$51-假设!$D$11)*H6</f>
        <v>-64780</v>
      </c>
      <c r="I40" s="11" t="n">
        <f aca="false">I28-(单位经济!$D$7*I39+假设!$D$51-假设!$D$11)*I6</f>
        <v>-15320</v>
      </c>
      <c r="J40" s="11" t="n">
        <f aca="false">J28-(单位经济!$D$7*J39+假设!$D$51-假设!$D$11)*J6</f>
        <v>-14285</v>
      </c>
      <c r="K40" s="11" t="n">
        <f aca="false">K28-(单位经济!$D$7*K39+假设!$D$51-假设!$D$11)*K6</f>
        <v>-13250</v>
      </c>
      <c r="L40" s="11" t="n">
        <f aca="false">L28-(单位经济!$D$7*L39+假设!$D$51-假设!$D$11)*L6</f>
        <v>-12215</v>
      </c>
      <c r="M40" s="11" t="n">
        <f aca="false">M28-(单位经济!$D$7*M39+假设!$D$51-假设!$D$11)*M6</f>
        <v>-11180</v>
      </c>
      <c r="N40" s="11" t="n">
        <f aca="false">N28-(单位经济!$D$7*N39+假设!$D$51-假设!$D$11)*N6</f>
        <v>-10145</v>
      </c>
      <c r="O40" s="11" t="n">
        <f aca="false">O28-(单位经济!$D$7*O39+假设!$D$51-假设!$D$11)*O6</f>
        <v>-9110</v>
      </c>
      <c r="P40" s="11" t="n">
        <f aca="false">P28-(单位经济!$D$7*P39+假设!$D$51-假设!$D$11)*P6</f>
        <v>-8075</v>
      </c>
      <c r="Q40" s="11" t="n">
        <f aca="false">Q28-(单位经济!$D$7*Q39+假设!$D$51-假设!$D$11)*Q6</f>
        <v>-6650</v>
      </c>
      <c r="R40" s="11" t="n">
        <f aca="false">R28-(单位经济!$D$7*R39+假设!$D$51-假设!$D$11)*R6</f>
        <v>-7040</v>
      </c>
      <c r="S40" s="11" t="n">
        <f aca="false">S28-(单位经济!$D$7*S39+假设!$D$51-假设!$D$11)*S6</f>
        <v>-5615</v>
      </c>
      <c r="T40" s="11" t="n">
        <f aca="false">T28-(单位经济!$D$7*T39+假设!$D$51-假设!$D$11)*T6</f>
        <v>-6005</v>
      </c>
      <c r="U40" s="11" t="n">
        <f aca="false">U28-(单位经济!$D$7*U39+假设!$D$51-假设!$D$11)*U6</f>
        <v>-4580</v>
      </c>
      <c r="V40" s="11" t="n">
        <f aca="false">V28-(单位经济!$D$7*V39+假设!$D$51-假设!$D$11)*V6</f>
        <v>-4580</v>
      </c>
      <c r="W40" s="11" t="n">
        <f aca="false">W28-(单位经济!$D$7*W39+假设!$D$51-假设!$D$11)*W6</f>
        <v>-4970</v>
      </c>
      <c r="X40" s="11" t="n">
        <f aca="false">X28-(单位经济!$D$7*X39+假设!$D$51-假设!$D$11)*X6</f>
        <v>-3545</v>
      </c>
      <c r="Y40" s="11" t="n">
        <f aca="false">Y28-(单位经济!$D$7*Y39+假设!$D$51-假设!$D$11)*Y6</f>
        <v>-3545</v>
      </c>
      <c r="Z40" s="11" t="n">
        <f aca="false">Z28-(单位经济!$D$7*Z39+假设!$D$51-假设!$D$11)*Z6</f>
        <v>-3935</v>
      </c>
      <c r="AA40" s="11" t="n">
        <f aca="false">AA28-(单位经济!$D$7*AA39+假设!$D$51-假设!$D$11)*AA6</f>
        <v>-2510</v>
      </c>
      <c r="AB40" s="11" t="n">
        <f aca="false">AB28-(单位经济!$D$7*AB39+假设!$D$51-假设!$D$11)*AB6</f>
        <v>-2510</v>
      </c>
      <c r="AC40" s="11" t="n">
        <f aca="false">AC28-(单位经济!$D$7*AC39+假设!$D$51-假设!$D$11)*AC6</f>
        <v>-2900</v>
      </c>
      <c r="AD40" s="11" t="n">
        <f aca="false">AD28-(单位经济!$D$7*AD39+假设!$D$51-假设!$D$11)*AD6</f>
        <v>-1475</v>
      </c>
      <c r="AE40" s="11" t="n">
        <f aca="false">AE28-(单位经济!$D$7*AE39+假设!$D$51-假设!$D$11)*AE6</f>
        <v>-1475</v>
      </c>
      <c r="AF40" s="11" t="n">
        <f aca="false">AF28-(单位经济!$D$7*AF39+假设!$D$51-假设!$D$11)*AF6</f>
        <v>-1475</v>
      </c>
      <c r="AG40" s="11" t="n">
        <f aca="false">AG28-(单位经济!$D$7*AG39+假设!$D$51-假设!$D$11)*AG6</f>
        <v>-1475</v>
      </c>
      <c r="AH40" s="11" t="n">
        <f aca="false">AH28-(单位经济!$D$7*AH39+假设!$D$51-假设!$D$11)*AH6</f>
        <v>-1475</v>
      </c>
      <c r="AI40" s="11" t="n">
        <f aca="false">AI28-(单位经济!$D$7*AI39+假设!$D$51-假设!$D$11)*AI6</f>
        <v>-1475</v>
      </c>
      <c r="AJ40" s="11" t="n">
        <f aca="false">AJ28-(单位经济!$D$7*AJ39+假设!$D$51-假设!$D$11)*AJ6</f>
        <v>-1475</v>
      </c>
      <c r="AK40" s="11" t="n">
        <f aca="false">AK28-(单位经济!$D$7*AK39+假设!$D$51-假设!$D$11)*AK6</f>
        <v>-1475</v>
      </c>
      <c r="AL40" s="11" t="n">
        <f aca="false">AL28-(单位经济!$D$7*AL39+假设!$D$51-假设!$D$11)*AL6</f>
        <v>-1475</v>
      </c>
      <c r="AM40" s="11" t="n">
        <f aca="false">AM28-(单位经济!$D$7*AM39+假设!$D$51-假设!$D$11)*AM6</f>
        <v>-1475</v>
      </c>
      <c r="AN40" s="3"/>
    </row>
    <row r="41" customFormat="false" ht="24" hidden="false" customHeight="true" outlineLevel="0" collapsed="false">
      <c r="A41" s="1"/>
      <c r="B41" s="1"/>
      <c r="C41" s="8" t="s">
        <v>195</v>
      </c>
      <c r="D41" s="2" t="n">
        <f aca="false">D40</f>
        <v>-59437.5</v>
      </c>
      <c r="E41" s="2" t="n">
        <f aca="false">D41+E40</f>
        <v>-118875</v>
      </c>
      <c r="F41" s="2" t="n">
        <f aca="false">E41+F40</f>
        <v>-178312.5</v>
      </c>
      <c r="G41" s="2" t="n">
        <f aca="false">F41+G40</f>
        <v>-237750</v>
      </c>
      <c r="H41" s="2" t="n">
        <f aca="false">G41+H40</f>
        <v>-302530</v>
      </c>
      <c r="I41" s="2" t="n">
        <f aca="false">H41+I40</f>
        <v>-317850</v>
      </c>
      <c r="J41" s="2" t="n">
        <f aca="false">I41+J40</f>
        <v>-332135</v>
      </c>
      <c r="K41" s="2" t="n">
        <f aca="false">J41+K40</f>
        <v>-345385</v>
      </c>
      <c r="L41" s="2" t="n">
        <f aca="false">K41+L40</f>
        <v>-357600</v>
      </c>
      <c r="M41" s="2" t="n">
        <f aca="false">L41+M40</f>
        <v>-368780</v>
      </c>
      <c r="N41" s="2" t="n">
        <f aca="false">M41+N40</f>
        <v>-378925</v>
      </c>
      <c r="O41" s="2" t="n">
        <f aca="false">N41+O40</f>
        <v>-388035</v>
      </c>
      <c r="P41" s="2" t="n">
        <f aca="false">O41+P40</f>
        <v>-396110</v>
      </c>
      <c r="Q41" s="2" t="n">
        <f aca="false">P41+Q40</f>
        <v>-402760</v>
      </c>
      <c r="R41" s="2" t="n">
        <f aca="false">Q41+R40</f>
        <v>-409800</v>
      </c>
      <c r="S41" s="2" t="n">
        <f aca="false">R41+S40</f>
        <v>-415415</v>
      </c>
      <c r="T41" s="2" t="n">
        <f aca="false">S41+T40</f>
        <v>-421420</v>
      </c>
      <c r="U41" s="2" t="n">
        <f aca="false">T41+U40</f>
        <v>-426000</v>
      </c>
      <c r="V41" s="2" t="n">
        <f aca="false">U41+V40</f>
        <v>-430580</v>
      </c>
      <c r="W41" s="2" t="n">
        <f aca="false">V41+W40</f>
        <v>-435550</v>
      </c>
      <c r="X41" s="2" t="n">
        <f aca="false">W41+X40</f>
        <v>-439095</v>
      </c>
      <c r="Y41" s="2" t="n">
        <f aca="false">X41+Y40</f>
        <v>-442640</v>
      </c>
      <c r="Z41" s="2" t="n">
        <f aca="false">Y41+Z40</f>
        <v>-446575</v>
      </c>
      <c r="AA41" s="2" t="n">
        <f aca="false">Z41+AA40</f>
        <v>-449085</v>
      </c>
      <c r="AB41" s="2" t="n">
        <f aca="false">AA41+AB40</f>
        <v>-451595</v>
      </c>
      <c r="AC41" s="2" t="n">
        <f aca="false">AB41+AC40</f>
        <v>-454495</v>
      </c>
      <c r="AD41" s="2" t="n">
        <f aca="false">AC41+AD40</f>
        <v>-455970</v>
      </c>
      <c r="AE41" s="2" t="n">
        <f aca="false">AD41+AE40</f>
        <v>-457445</v>
      </c>
      <c r="AF41" s="2" t="n">
        <f aca="false">AE41+AF40</f>
        <v>-458920</v>
      </c>
      <c r="AG41" s="2" t="n">
        <f aca="false">AF41+AG40</f>
        <v>-460395</v>
      </c>
      <c r="AH41" s="2" t="n">
        <f aca="false">AG41+AH40</f>
        <v>-461870</v>
      </c>
      <c r="AI41" s="2" t="n">
        <f aca="false">AH41+AI40</f>
        <v>-463345</v>
      </c>
      <c r="AJ41" s="2" t="n">
        <f aca="false">AI41+AJ40</f>
        <v>-464820</v>
      </c>
      <c r="AK41" s="2" t="n">
        <f aca="false">AJ41+AK40</f>
        <v>-466295</v>
      </c>
      <c r="AL41" s="2" t="n">
        <f aca="false">AK41+AL40</f>
        <v>-467770</v>
      </c>
      <c r="AM41" s="2" t="n">
        <f aca="false">AL41+AM40</f>
        <v>-469245</v>
      </c>
      <c r="AN41" s="3"/>
    </row>
    <row r="42" customFormat="false" ht="24" hidden="false" customHeight="true" outlineLevel="0" collapsed="false">
      <c r="A42" s="1"/>
      <c r="B42" s="1"/>
      <c r="C42" s="8" t="s">
        <v>196</v>
      </c>
      <c r="D42" s="11" t="n">
        <f aca="false">IF(AND(D$5&gt;假设!$D$25,D41&gt;=0),D$5,999)</f>
        <v>999</v>
      </c>
      <c r="E42" s="11" t="n">
        <f aca="false">IF(AND(E$5&gt;假设!$D$25,E41&gt;=0),E$5,999)</f>
        <v>999</v>
      </c>
      <c r="F42" s="11" t="n">
        <f aca="false">IF(AND(F$5&gt;假设!$D$25,F41&gt;=0),F$5,999)</f>
        <v>999</v>
      </c>
      <c r="G42" s="11" t="n">
        <f aca="false">IF(AND(G$5&gt;假设!$D$25,G41&gt;=0),G$5,999)</f>
        <v>999</v>
      </c>
      <c r="H42" s="11" t="n">
        <f aca="false">IF(AND(H$5&gt;假设!$D$25,H41&gt;=0),H$5,999)</f>
        <v>999</v>
      </c>
      <c r="I42" s="11" t="n">
        <f aca="false">IF(AND(I$5&gt;假设!$D$25,I41&gt;=0),I$5,999)</f>
        <v>999</v>
      </c>
      <c r="J42" s="11" t="n">
        <f aca="false">IF(AND(J$5&gt;假设!$D$25,J41&gt;=0),J$5,999)</f>
        <v>999</v>
      </c>
      <c r="K42" s="11" t="n">
        <f aca="false">IF(AND(K$5&gt;假设!$D$25,K41&gt;=0),K$5,999)</f>
        <v>999</v>
      </c>
      <c r="L42" s="11" t="n">
        <f aca="false">IF(AND(L$5&gt;假设!$D$25,L41&gt;=0),L$5,999)</f>
        <v>999</v>
      </c>
      <c r="M42" s="11" t="n">
        <f aca="false">IF(AND(M$5&gt;假设!$D$25,M41&gt;=0),M$5,999)</f>
        <v>999</v>
      </c>
      <c r="N42" s="11" t="n">
        <f aca="false">IF(AND(N$5&gt;假设!$D$25,N41&gt;=0),N$5,999)</f>
        <v>999</v>
      </c>
      <c r="O42" s="11" t="n">
        <f aca="false">IF(AND(O$5&gt;假设!$D$25,O41&gt;=0),O$5,999)</f>
        <v>999</v>
      </c>
      <c r="P42" s="11" t="n">
        <f aca="false">IF(AND(P$5&gt;假设!$D$25,P41&gt;=0),P$5,999)</f>
        <v>999</v>
      </c>
      <c r="Q42" s="11" t="n">
        <f aca="false">IF(AND(Q$5&gt;假设!$D$25,Q41&gt;=0),Q$5,999)</f>
        <v>999</v>
      </c>
      <c r="R42" s="11" t="n">
        <f aca="false">IF(AND(R$5&gt;假设!$D$25,R41&gt;=0),R$5,999)</f>
        <v>999</v>
      </c>
      <c r="S42" s="11" t="n">
        <f aca="false">IF(AND(S$5&gt;假设!$D$25,S41&gt;=0),S$5,999)</f>
        <v>999</v>
      </c>
      <c r="T42" s="11" t="n">
        <f aca="false">IF(AND(T$5&gt;假设!$D$25,T41&gt;=0),T$5,999)</f>
        <v>999</v>
      </c>
      <c r="U42" s="11" t="n">
        <f aca="false">IF(AND(U$5&gt;假设!$D$25,U41&gt;=0),U$5,999)</f>
        <v>999</v>
      </c>
      <c r="V42" s="11" t="n">
        <f aca="false">IF(AND(V$5&gt;假设!$D$25,V41&gt;=0),V$5,999)</f>
        <v>999</v>
      </c>
      <c r="W42" s="11" t="n">
        <f aca="false">IF(AND(W$5&gt;假设!$D$25,W41&gt;=0),W$5,999)</f>
        <v>999</v>
      </c>
      <c r="X42" s="11" t="n">
        <f aca="false">IF(AND(X$5&gt;假设!$D$25,X41&gt;=0),X$5,999)</f>
        <v>999</v>
      </c>
      <c r="Y42" s="11" t="n">
        <f aca="false">IF(AND(Y$5&gt;假设!$D$25,Y41&gt;=0),Y$5,999)</f>
        <v>999</v>
      </c>
      <c r="Z42" s="11" t="n">
        <f aca="false">IF(AND(Z$5&gt;假设!$D$25,Z41&gt;=0),Z$5,999)</f>
        <v>999</v>
      </c>
      <c r="AA42" s="11" t="n">
        <f aca="false">IF(AND(AA$5&gt;假设!$D$25,AA41&gt;=0),AA$5,999)</f>
        <v>999</v>
      </c>
      <c r="AB42" s="11" t="n">
        <f aca="false">IF(AND(AB$5&gt;假设!$D$25,AB41&gt;=0),AB$5,999)</f>
        <v>999</v>
      </c>
      <c r="AC42" s="11" t="n">
        <f aca="false">IF(AND(AC$5&gt;假设!$D$25,AC41&gt;=0),AC$5,999)</f>
        <v>999</v>
      </c>
      <c r="AD42" s="11" t="n">
        <f aca="false">IF(AND(AD$5&gt;假设!$D$25,AD41&gt;=0),AD$5,999)</f>
        <v>999</v>
      </c>
      <c r="AE42" s="11" t="n">
        <f aca="false">IF(AND(AE$5&gt;假设!$D$25,AE41&gt;=0),AE$5,999)</f>
        <v>999</v>
      </c>
      <c r="AF42" s="11" t="n">
        <f aca="false">IF(AND(AF$5&gt;假设!$D$25,AF41&gt;=0),AF$5,999)</f>
        <v>999</v>
      </c>
      <c r="AG42" s="11" t="n">
        <f aca="false">IF(AND(AG$5&gt;假设!$D$25,AG41&gt;=0),AG$5,999)</f>
        <v>999</v>
      </c>
      <c r="AH42" s="11" t="n">
        <f aca="false">IF(AND(AH$5&gt;假设!$D$25,AH41&gt;=0),AH$5,999)</f>
        <v>999</v>
      </c>
      <c r="AI42" s="11" t="n">
        <f aca="false">IF(AND(AI$5&gt;假设!$D$25,AI41&gt;=0),AI$5,999)</f>
        <v>999</v>
      </c>
      <c r="AJ42" s="11" t="n">
        <f aca="false">IF(AND(AJ$5&gt;假设!$D$25,AJ41&gt;=0),AJ$5,999)</f>
        <v>999</v>
      </c>
      <c r="AK42" s="11" t="n">
        <f aca="false">IF(AND(AK$5&gt;假设!$D$25,AK41&gt;=0),AK$5,999)</f>
        <v>999</v>
      </c>
      <c r="AL42" s="11" t="n">
        <f aca="false">IF(AND(AL$5&gt;假设!$D$25,AL41&gt;=0),AL$5,999)</f>
        <v>999</v>
      </c>
      <c r="AM42" s="11" t="n">
        <f aca="false">IF(AND(AM$5&gt;假设!$D$25,AM41&gt;=0),AM$5,999)</f>
        <v>999</v>
      </c>
      <c r="AN42" s="3"/>
    </row>
    <row r="43" customFormat="false" ht="24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customFormat="false" ht="24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customFormat="false" ht="15" hidden="false" customHeight="false" outlineLevel="0" collapsed="false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0" min="4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customFormat="false" ht="24" hidden="false" customHeight="true" outlineLevel="0" collapsed="false">
      <c r="A2" s="1"/>
      <c r="B2" s="1"/>
      <c r="C2" s="4" t="s">
        <v>197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 customFormat="false" ht="24" hidden="false" customHeight="true" outlineLevel="0" collapsed="false">
      <c r="A3" s="1"/>
      <c r="B3" s="1"/>
      <c r="C3" s="8" t="s">
        <v>198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</row>
    <row r="5" customFormat="false" ht="24" hidden="false" customHeight="true" outlineLevel="0" collapsed="false">
      <c r="A5" s="1"/>
      <c r="B5" s="1"/>
      <c r="C5" s="1"/>
      <c r="D5" s="22" t="n">
        <v>1</v>
      </c>
      <c r="E5" s="22" t="n">
        <v>2</v>
      </c>
      <c r="F5" s="22" t="n">
        <v>3</v>
      </c>
      <c r="G5" s="22" t="n">
        <v>4</v>
      </c>
      <c r="H5" s="22" t="n">
        <v>5</v>
      </c>
      <c r="I5" s="22" t="n">
        <v>6</v>
      </c>
      <c r="J5" s="22" t="n">
        <v>7</v>
      </c>
      <c r="K5" s="22" t="n">
        <v>8</v>
      </c>
      <c r="L5" s="22" t="n">
        <v>9</v>
      </c>
      <c r="M5" s="22" t="n">
        <v>10</v>
      </c>
      <c r="N5" s="22" t="n">
        <v>11</v>
      </c>
      <c r="O5" s="22" t="n">
        <v>12</v>
      </c>
      <c r="P5" s="22" t="n">
        <v>13</v>
      </c>
      <c r="Q5" s="22" t="n">
        <v>14</v>
      </c>
      <c r="R5" s="22" t="n">
        <v>15</v>
      </c>
      <c r="S5" s="22" t="n">
        <v>16</v>
      </c>
      <c r="T5" s="22" t="n">
        <v>17</v>
      </c>
      <c r="U5" s="22" t="n">
        <v>18</v>
      </c>
      <c r="V5" s="22" t="n">
        <v>19</v>
      </c>
      <c r="W5" s="22" t="n">
        <v>20</v>
      </c>
      <c r="X5" s="22" t="n">
        <v>21</v>
      </c>
      <c r="Y5" s="22" t="n">
        <v>22</v>
      </c>
      <c r="Z5" s="22" t="n">
        <v>23</v>
      </c>
      <c r="AA5" s="22" t="n">
        <v>24</v>
      </c>
      <c r="AB5" s="22" t="n">
        <v>25</v>
      </c>
      <c r="AC5" s="22" t="n">
        <v>26</v>
      </c>
      <c r="AD5" s="22" t="n">
        <v>27</v>
      </c>
      <c r="AE5" s="22" t="n">
        <v>28</v>
      </c>
      <c r="AF5" s="22" t="n">
        <v>29</v>
      </c>
      <c r="AG5" s="22" t="n">
        <v>30</v>
      </c>
      <c r="AH5" s="22" t="n">
        <v>31</v>
      </c>
      <c r="AI5" s="22" t="n">
        <v>32</v>
      </c>
      <c r="AJ5" s="22" t="n">
        <v>33</v>
      </c>
      <c r="AK5" s="22" t="n">
        <v>34</v>
      </c>
      <c r="AL5" s="22" t="n">
        <v>35</v>
      </c>
      <c r="AM5" s="22" t="n">
        <v>36</v>
      </c>
      <c r="AN5" s="3"/>
    </row>
    <row r="6" customFormat="false" ht="24" hidden="false" customHeight="true" outlineLevel="0" collapsed="false">
      <c r="A6" s="1"/>
      <c r="B6" s="1"/>
      <c r="C6" s="8" t="s">
        <v>163</v>
      </c>
      <c r="D6" s="11" t="n">
        <f aca="false">假设!D32</f>
        <v>0</v>
      </c>
      <c r="E6" s="11" t="n">
        <f aca="false">假设!E32</f>
        <v>0</v>
      </c>
      <c r="F6" s="11" t="n">
        <f aca="false">假设!F32</f>
        <v>0</v>
      </c>
      <c r="G6" s="11" t="n">
        <f aca="false">假设!G32</f>
        <v>0</v>
      </c>
      <c r="H6" s="11" t="n">
        <f aca="false">假设!H32</f>
        <v>8</v>
      </c>
      <c r="I6" s="11" t="n">
        <f aca="false">假设!I32</f>
        <v>12</v>
      </c>
      <c r="J6" s="11" t="n">
        <f aca="false">假设!J32</f>
        <v>16</v>
      </c>
      <c r="K6" s="11" t="n">
        <f aca="false">假设!K32</f>
        <v>20</v>
      </c>
      <c r="L6" s="11" t="n">
        <f aca="false">假设!L32</f>
        <v>24</v>
      </c>
      <c r="M6" s="11" t="n">
        <f aca="false">假设!M32</f>
        <v>28</v>
      </c>
      <c r="N6" s="11" t="n">
        <f aca="false">假设!N32</f>
        <v>32</v>
      </c>
      <c r="O6" s="11" t="n">
        <f aca="false">假设!O32</f>
        <v>36</v>
      </c>
      <c r="P6" s="11" t="n">
        <f aca="false">假设!P32</f>
        <v>40</v>
      </c>
      <c r="Q6" s="11" t="n">
        <f aca="false">假设!Q32</f>
        <v>44</v>
      </c>
      <c r="R6" s="11" t="n">
        <f aca="false">假设!R32</f>
        <v>48</v>
      </c>
      <c r="S6" s="11" t="n">
        <f aca="false">假设!S32</f>
        <v>52</v>
      </c>
      <c r="T6" s="11" t="n">
        <f aca="false">假设!T32</f>
        <v>56</v>
      </c>
      <c r="U6" s="11" t="n">
        <f aca="false">假设!U32</f>
        <v>60</v>
      </c>
      <c r="V6" s="11" t="n">
        <f aca="false">假设!V32</f>
        <v>64</v>
      </c>
      <c r="W6" s="11" t="n">
        <f aca="false">假设!W32</f>
        <v>68</v>
      </c>
      <c r="X6" s="11" t="n">
        <f aca="false">假设!X32</f>
        <v>72</v>
      </c>
      <c r="Y6" s="11" t="n">
        <f aca="false">假设!Y32</f>
        <v>76</v>
      </c>
      <c r="Z6" s="11" t="n">
        <f aca="false">假设!Z32</f>
        <v>80</v>
      </c>
      <c r="AA6" s="11" t="n">
        <f aca="false">假设!AA32</f>
        <v>84</v>
      </c>
      <c r="AB6" s="11" t="n">
        <f aca="false">假设!AB32</f>
        <v>88</v>
      </c>
      <c r="AC6" s="11" t="n">
        <f aca="false">假设!AC32</f>
        <v>92</v>
      </c>
      <c r="AD6" s="11" t="n">
        <f aca="false">假设!AD32</f>
        <v>96</v>
      </c>
      <c r="AE6" s="11" t="n">
        <f aca="false">假设!AE32</f>
        <v>100</v>
      </c>
      <c r="AF6" s="11" t="n">
        <f aca="false">假设!AF32</f>
        <v>100</v>
      </c>
      <c r="AG6" s="11" t="n">
        <f aca="false">假设!AG32</f>
        <v>100</v>
      </c>
      <c r="AH6" s="11" t="n">
        <f aca="false">假设!AH32</f>
        <v>100</v>
      </c>
      <c r="AI6" s="11" t="n">
        <f aca="false">假设!AI32</f>
        <v>100</v>
      </c>
      <c r="AJ6" s="11" t="n">
        <f aca="false">假设!AJ32</f>
        <v>100</v>
      </c>
      <c r="AK6" s="11" t="n">
        <f aca="false">假设!AK32</f>
        <v>100</v>
      </c>
      <c r="AL6" s="11" t="n">
        <f aca="false">假设!AL32</f>
        <v>100</v>
      </c>
      <c r="AM6" s="11" t="n">
        <f aca="false">假设!AM32</f>
        <v>100</v>
      </c>
      <c r="AN6" s="3"/>
    </row>
    <row r="7" customFormat="false" ht="24" hidden="false" customHeight="true" outlineLevel="0" collapsed="false">
      <c r="A7" s="1"/>
      <c r="B7" s="1"/>
      <c r="C7" s="8" t="s">
        <v>164</v>
      </c>
      <c r="D7" s="23" t="n">
        <f aca="false">D6/假设!$D$21</f>
        <v>0</v>
      </c>
      <c r="E7" s="23" t="n">
        <f aca="false">E6/假设!$D$21</f>
        <v>0</v>
      </c>
      <c r="F7" s="23" t="n">
        <f aca="false">F6/假设!$D$21</f>
        <v>0</v>
      </c>
      <c r="G7" s="23" t="n">
        <f aca="false">G6/假设!$D$21</f>
        <v>0</v>
      </c>
      <c r="H7" s="23" t="n">
        <f aca="false">H6/假设!$D$21</f>
        <v>4</v>
      </c>
      <c r="I7" s="23" t="n">
        <f aca="false">I6/假设!$D$21</f>
        <v>6</v>
      </c>
      <c r="J7" s="23" t="n">
        <f aca="false">J6/假设!$D$21</f>
        <v>8</v>
      </c>
      <c r="K7" s="23" t="n">
        <f aca="false">K6/假设!$D$21</f>
        <v>10</v>
      </c>
      <c r="L7" s="23" t="n">
        <f aca="false">L6/假设!$D$21</f>
        <v>12</v>
      </c>
      <c r="M7" s="23" t="n">
        <f aca="false">M6/假设!$D$21</f>
        <v>14</v>
      </c>
      <c r="N7" s="23" t="n">
        <f aca="false">N6/假设!$D$21</f>
        <v>16</v>
      </c>
      <c r="O7" s="23" t="n">
        <f aca="false">O6/假设!$D$21</f>
        <v>18</v>
      </c>
      <c r="P7" s="23" t="n">
        <f aca="false">P6/假设!$D$21</f>
        <v>20</v>
      </c>
      <c r="Q7" s="23" t="n">
        <f aca="false">Q6/假设!$D$21</f>
        <v>22</v>
      </c>
      <c r="R7" s="23" t="n">
        <f aca="false">R6/假设!$D$21</f>
        <v>24</v>
      </c>
      <c r="S7" s="23" t="n">
        <f aca="false">S6/假设!$D$21</f>
        <v>26</v>
      </c>
      <c r="T7" s="23" t="n">
        <f aca="false">T6/假设!$D$21</f>
        <v>28</v>
      </c>
      <c r="U7" s="23" t="n">
        <f aca="false">U6/假设!$D$21</f>
        <v>30</v>
      </c>
      <c r="V7" s="23" t="n">
        <f aca="false">V6/假设!$D$21</f>
        <v>32</v>
      </c>
      <c r="W7" s="23" t="n">
        <f aca="false">W6/假设!$D$21</f>
        <v>34</v>
      </c>
      <c r="X7" s="23" t="n">
        <f aca="false">X6/假设!$D$21</f>
        <v>36</v>
      </c>
      <c r="Y7" s="23" t="n">
        <f aca="false">Y6/假设!$D$21</f>
        <v>38</v>
      </c>
      <c r="Z7" s="23" t="n">
        <f aca="false">Z6/假设!$D$21</f>
        <v>40</v>
      </c>
      <c r="AA7" s="23" t="n">
        <f aca="false">AA6/假设!$D$21</f>
        <v>42</v>
      </c>
      <c r="AB7" s="23" t="n">
        <f aca="false">AB6/假设!$D$21</f>
        <v>44</v>
      </c>
      <c r="AC7" s="23" t="n">
        <f aca="false">AC6/假设!$D$21</f>
        <v>46</v>
      </c>
      <c r="AD7" s="23" t="n">
        <f aca="false">AD6/假设!$D$21</f>
        <v>48</v>
      </c>
      <c r="AE7" s="23" t="n">
        <f aca="false">AE6/假设!$D$21</f>
        <v>50</v>
      </c>
      <c r="AF7" s="23" t="n">
        <f aca="false">AF6/假设!$D$21</f>
        <v>50</v>
      </c>
      <c r="AG7" s="23" t="n">
        <f aca="false">AG6/假设!$D$21</f>
        <v>50</v>
      </c>
      <c r="AH7" s="23" t="n">
        <f aca="false">AH6/假设!$D$21</f>
        <v>50</v>
      </c>
      <c r="AI7" s="23" t="n">
        <f aca="false">AI6/假设!$D$21</f>
        <v>50</v>
      </c>
      <c r="AJ7" s="23" t="n">
        <f aca="false">AJ6/假设!$D$21</f>
        <v>50</v>
      </c>
      <c r="AK7" s="23" t="n">
        <f aca="false">AK6/假设!$D$21</f>
        <v>50</v>
      </c>
      <c r="AL7" s="23" t="n">
        <f aca="false">AL6/假设!$D$21</f>
        <v>50</v>
      </c>
      <c r="AM7" s="23" t="n">
        <f aca="false">AM6/假设!$D$21</f>
        <v>50</v>
      </c>
      <c r="AN7" s="3"/>
    </row>
    <row r="8" customFormat="false" ht="24" hidden="false" customHeight="true" outlineLevel="0" collapsed="false">
      <c r="A8" s="1"/>
      <c r="B8" s="1"/>
      <c r="C8" s="8" t="s">
        <v>165</v>
      </c>
      <c r="D8" s="24" t="n">
        <f aca="false">0</f>
        <v>0</v>
      </c>
      <c r="E8" s="23" t="n">
        <f aca="false">MIN(E7,D7*(1-假设!$D$22))</f>
        <v>0</v>
      </c>
      <c r="F8" s="23" t="n">
        <f aca="false">MIN(F7,E7*(1-假设!$D$22))</f>
        <v>0</v>
      </c>
      <c r="G8" s="23" t="n">
        <f aca="false">MIN(G7,F7*(1-假设!$D$22))</f>
        <v>0</v>
      </c>
      <c r="H8" s="23" t="n">
        <f aca="false">MIN(H7,G7*(1-假设!$D$22))</f>
        <v>0</v>
      </c>
      <c r="I8" s="23" t="n">
        <f aca="false">MIN(I7,H7*(1-假设!$D$22))</f>
        <v>3.8</v>
      </c>
      <c r="J8" s="23" t="n">
        <f aca="false">MIN(J7,I7*(1-假设!$D$22))</f>
        <v>5.7</v>
      </c>
      <c r="K8" s="23" t="n">
        <f aca="false">MIN(K7,J7*(1-假设!$D$22))</f>
        <v>7.6</v>
      </c>
      <c r="L8" s="23" t="n">
        <f aca="false">MIN(L7,K7*(1-假设!$D$22))</f>
        <v>9.5</v>
      </c>
      <c r="M8" s="23" t="n">
        <f aca="false">MIN(M7,L7*(1-假设!$D$22))</f>
        <v>11.4</v>
      </c>
      <c r="N8" s="23" t="n">
        <f aca="false">MIN(N7,M7*(1-假设!$D$22))</f>
        <v>13.3</v>
      </c>
      <c r="O8" s="23" t="n">
        <f aca="false">MIN(O7,N7*(1-假设!$D$22))</f>
        <v>15.2</v>
      </c>
      <c r="P8" s="23" t="n">
        <f aca="false">MIN(P7,O7*(1-假设!$D$22))</f>
        <v>17.1</v>
      </c>
      <c r="Q8" s="23" t="n">
        <f aca="false">MIN(Q7,P7*(1-假设!$D$22))</f>
        <v>19</v>
      </c>
      <c r="R8" s="23" t="n">
        <f aca="false">MIN(R7,Q7*(1-假设!$D$22))</f>
        <v>20.9</v>
      </c>
      <c r="S8" s="23" t="n">
        <f aca="false">MIN(S7,R7*(1-假设!$D$22))</f>
        <v>22.8</v>
      </c>
      <c r="T8" s="23" t="n">
        <f aca="false">MIN(T7,S7*(1-假设!$D$22))</f>
        <v>24.7</v>
      </c>
      <c r="U8" s="23" t="n">
        <f aca="false">MIN(U7,T7*(1-假设!$D$22))</f>
        <v>26.6</v>
      </c>
      <c r="V8" s="23" t="n">
        <f aca="false">MIN(V7,U7*(1-假设!$D$22))</f>
        <v>28.5</v>
      </c>
      <c r="W8" s="23" t="n">
        <f aca="false">MIN(W7,V7*(1-假设!$D$22))</f>
        <v>30.4</v>
      </c>
      <c r="X8" s="23" t="n">
        <f aca="false">MIN(X7,W7*(1-假设!$D$22))</f>
        <v>32.3</v>
      </c>
      <c r="Y8" s="23" t="n">
        <f aca="false">MIN(Y7,X7*(1-假设!$D$22))</f>
        <v>34.2</v>
      </c>
      <c r="Z8" s="23" t="n">
        <f aca="false">MIN(Z7,Y7*(1-假设!$D$22))</f>
        <v>36.1</v>
      </c>
      <c r="AA8" s="23" t="n">
        <f aca="false">MIN(AA7,Z7*(1-假设!$D$22))</f>
        <v>38</v>
      </c>
      <c r="AB8" s="23" t="n">
        <f aca="false">MIN(AB7,AA7*(1-假设!$D$22))</f>
        <v>39.9</v>
      </c>
      <c r="AC8" s="23" t="n">
        <f aca="false">MIN(AC7,AB7*(1-假设!$D$22))</f>
        <v>41.8</v>
      </c>
      <c r="AD8" s="23" t="n">
        <f aca="false">MIN(AD7,AC7*(1-假设!$D$22))</f>
        <v>43.7</v>
      </c>
      <c r="AE8" s="23" t="n">
        <f aca="false">MIN(AE7,AD7*(1-假设!$D$22))</f>
        <v>45.6</v>
      </c>
      <c r="AF8" s="23" t="n">
        <f aca="false">MIN(AF7,AE7*(1-假设!$D$22))</f>
        <v>47.5</v>
      </c>
      <c r="AG8" s="23" t="n">
        <f aca="false">MIN(AG7,AF7*(1-假设!$D$22))</f>
        <v>47.5</v>
      </c>
      <c r="AH8" s="23" t="n">
        <f aca="false">MIN(AH7,AG7*(1-假设!$D$22))</f>
        <v>47.5</v>
      </c>
      <c r="AI8" s="23" t="n">
        <f aca="false">MIN(AI7,AH7*(1-假设!$D$22))</f>
        <v>47.5</v>
      </c>
      <c r="AJ8" s="23" t="n">
        <f aca="false">MIN(AJ7,AI7*(1-假设!$D$22))</f>
        <v>47.5</v>
      </c>
      <c r="AK8" s="23" t="n">
        <f aca="false">MIN(AK7,AJ7*(1-假设!$D$22))</f>
        <v>47.5</v>
      </c>
      <c r="AL8" s="23" t="n">
        <f aca="false">MIN(AL7,AK7*(1-假设!$D$22))</f>
        <v>47.5</v>
      </c>
      <c r="AM8" s="23" t="n">
        <f aca="false">MIN(AM7,AL7*(1-假设!$D$22))</f>
        <v>47.5</v>
      </c>
      <c r="AN8" s="3"/>
    </row>
    <row r="9" customFormat="false" ht="24" hidden="false" customHeight="true" outlineLevel="0" collapsed="false">
      <c r="A9" s="1"/>
      <c r="B9" s="1"/>
      <c r="C9" s="8" t="s">
        <v>166</v>
      </c>
      <c r="D9" s="24" t="n">
        <f aca="false">MAX(0,D7-D8)</f>
        <v>0</v>
      </c>
      <c r="E9" s="24" t="n">
        <f aca="false">MAX(0,E7-E8)</f>
        <v>0</v>
      </c>
      <c r="F9" s="24" t="n">
        <f aca="false">MAX(0,F7-F8)</f>
        <v>0</v>
      </c>
      <c r="G9" s="24" t="n">
        <f aca="false">MAX(0,G7-G8)</f>
        <v>0</v>
      </c>
      <c r="H9" s="24" t="n">
        <f aca="false">MAX(0,H7-H8)</f>
        <v>4</v>
      </c>
      <c r="I9" s="24" t="n">
        <f aca="false">MAX(0,I7-I8)</f>
        <v>2.2</v>
      </c>
      <c r="J9" s="24" t="n">
        <f aca="false">MAX(0,J7-J8)</f>
        <v>2.3</v>
      </c>
      <c r="K9" s="24" t="n">
        <f aca="false">MAX(0,K7-K8)</f>
        <v>2.4</v>
      </c>
      <c r="L9" s="24" t="n">
        <f aca="false">MAX(0,L7-L8)</f>
        <v>2.5</v>
      </c>
      <c r="M9" s="24" t="n">
        <f aca="false">MAX(0,M7-M8)</f>
        <v>2.6</v>
      </c>
      <c r="N9" s="24" t="n">
        <f aca="false">MAX(0,N7-N8)</f>
        <v>2.7</v>
      </c>
      <c r="O9" s="24" t="n">
        <f aca="false">MAX(0,O7-O8)</f>
        <v>2.8</v>
      </c>
      <c r="P9" s="24" t="n">
        <f aca="false">MAX(0,P7-P8)</f>
        <v>2.9</v>
      </c>
      <c r="Q9" s="24" t="n">
        <f aca="false">MAX(0,Q7-Q8)</f>
        <v>3</v>
      </c>
      <c r="R9" s="24" t="n">
        <f aca="false">MAX(0,R7-R8)</f>
        <v>3.1</v>
      </c>
      <c r="S9" s="24" t="n">
        <f aca="false">MAX(0,S7-S8)</f>
        <v>3.2</v>
      </c>
      <c r="T9" s="24" t="n">
        <f aca="false">MAX(0,T7-T8)</f>
        <v>3.3</v>
      </c>
      <c r="U9" s="24" t="n">
        <f aca="false">MAX(0,U7-U8)</f>
        <v>3.4</v>
      </c>
      <c r="V9" s="24" t="n">
        <f aca="false">MAX(0,V7-V8)</f>
        <v>3.5</v>
      </c>
      <c r="W9" s="24" t="n">
        <f aca="false">MAX(0,W7-W8)</f>
        <v>3.6</v>
      </c>
      <c r="X9" s="24" t="n">
        <f aca="false">MAX(0,X7-X8)</f>
        <v>3.7</v>
      </c>
      <c r="Y9" s="24" t="n">
        <f aca="false">MAX(0,Y7-Y8)</f>
        <v>3.8</v>
      </c>
      <c r="Z9" s="24" t="n">
        <f aca="false">MAX(0,Z7-Z8)</f>
        <v>3.9</v>
      </c>
      <c r="AA9" s="24" t="n">
        <f aca="false">MAX(0,AA7-AA8)</f>
        <v>4</v>
      </c>
      <c r="AB9" s="24" t="n">
        <f aca="false">MAX(0,AB7-AB8)</f>
        <v>4.1</v>
      </c>
      <c r="AC9" s="24" t="n">
        <f aca="false">MAX(0,AC7-AC8)</f>
        <v>4.2</v>
      </c>
      <c r="AD9" s="24" t="n">
        <f aca="false">MAX(0,AD7-AD8)</f>
        <v>4.3</v>
      </c>
      <c r="AE9" s="24" t="n">
        <f aca="false">MAX(0,AE7-AE8)</f>
        <v>4.40000000000001</v>
      </c>
      <c r="AF9" s="24" t="n">
        <f aca="false">MAX(0,AF7-AF8)</f>
        <v>2.5</v>
      </c>
      <c r="AG9" s="24" t="n">
        <f aca="false">MAX(0,AG7-AG8)</f>
        <v>2.5</v>
      </c>
      <c r="AH9" s="24" t="n">
        <f aca="false">MAX(0,AH7-AH8)</f>
        <v>2.5</v>
      </c>
      <c r="AI9" s="24" t="n">
        <f aca="false">MAX(0,AI7-AI8)</f>
        <v>2.5</v>
      </c>
      <c r="AJ9" s="24" t="n">
        <f aca="false">MAX(0,AJ7-AJ8)</f>
        <v>2.5</v>
      </c>
      <c r="AK9" s="24" t="n">
        <f aca="false">MAX(0,AK7-AK8)</f>
        <v>2.5</v>
      </c>
      <c r="AL9" s="24" t="n">
        <f aca="false">MAX(0,AL7-AL8)</f>
        <v>2.5</v>
      </c>
      <c r="AM9" s="24" t="n">
        <f aca="false">MAX(0,AM7-AM8)</f>
        <v>2.5</v>
      </c>
      <c r="AN9" s="3"/>
    </row>
    <row r="10" customFormat="false" ht="24" hidden="false" customHeight="true" outlineLevel="0" collapsed="false">
      <c r="A10" s="1"/>
      <c r="B10" s="1"/>
      <c r="C10" s="8" t="s">
        <v>167</v>
      </c>
      <c r="D10" s="11" t="n">
        <f aca="false">IF(D$5&lt;=假设!$D$25+1,0,D9*假设!$D$20)</f>
        <v>0</v>
      </c>
      <c r="E10" s="11" t="n">
        <f aca="false">IF(E$5&lt;=假设!$D$25+1,0,E9*假设!$D$20)</f>
        <v>0</v>
      </c>
      <c r="F10" s="11" t="n">
        <f aca="false">IF(F$5&lt;=假设!$D$25+1,0,F9*假设!$D$20)</f>
        <v>0</v>
      </c>
      <c r="G10" s="11" t="n">
        <f aca="false">IF(G$5&lt;=假设!$D$25+1,0,G9*假设!$D$20)</f>
        <v>0</v>
      </c>
      <c r="H10" s="11" t="n">
        <f aca="false">IF(H$5&lt;=假设!$D$25+1,0,H9*假设!$D$20)</f>
        <v>0</v>
      </c>
      <c r="I10" s="11" t="n">
        <f aca="false">IF(I$5&lt;=假设!$D$25+1,0,I9*假设!$D$20)</f>
        <v>3300</v>
      </c>
      <c r="J10" s="11" t="n">
        <f aca="false">IF(J$5&lt;=假设!$D$25+1,0,J9*假设!$D$20)</f>
        <v>3450</v>
      </c>
      <c r="K10" s="11" t="n">
        <f aca="false">IF(K$5&lt;=假设!$D$25+1,0,K9*假设!$D$20)</f>
        <v>3600</v>
      </c>
      <c r="L10" s="11" t="n">
        <f aca="false">IF(L$5&lt;=假设!$D$25+1,0,L9*假设!$D$20)</f>
        <v>3750</v>
      </c>
      <c r="M10" s="11" t="n">
        <f aca="false">IF(M$5&lt;=假设!$D$25+1,0,M9*假设!$D$20)</f>
        <v>3900</v>
      </c>
      <c r="N10" s="11" t="n">
        <f aca="false">IF(N$5&lt;=假设!$D$25+1,0,N9*假设!$D$20)</f>
        <v>4050</v>
      </c>
      <c r="O10" s="11" t="n">
        <f aca="false">IF(O$5&lt;=假设!$D$25+1,0,O9*假设!$D$20)</f>
        <v>4200</v>
      </c>
      <c r="P10" s="11" t="n">
        <f aca="false">IF(P$5&lt;=假设!$D$25+1,0,P9*假设!$D$20)</f>
        <v>4350</v>
      </c>
      <c r="Q10" s="11" t="n">
        <f aca="false">IF(Q$5&lt;=假设!$D$25+1,0,Q9*假设!$D$20)</f>
        <v>4500</v>
      </c>
      <c r="R10" s="11" t="n">
        <f aca="false">IF(R$5&lt;=假设!$D$25+1,0,R9*假设!$D$20)</f>
        <v>4650</v>
      </c>
      <c r="S10" s="11" t="n">
        <f aca="false">IF(S$5&lt;=假设!$D$25+1,0,S9*假设!$D$20)</f>
        <v>4800.00000000001</v>
      </c>
      <c r="T10" s="11" t="n">
        <f aca="false">IF(T$5&lt;=假设!$D$25+1,0,T9*假设!$D$20)</f>
        <v>4950</v>
      </c>
      <c r="U10" s="11" t="n">
        <f aca="false">IF(U$5&lt;=假设!$D$25+1,0,U9*假设!$D$20)</f>
        <v>5100</v>
      </c>
      <c r="V10" s="11" t="n">
        <f aca="false">IF(V$5&lt;=假设!$D$25+1,0,V9*假设!$D$20)</f>
        <v>5250</v>
      </c>
      <c r="W10" s="11" t="n">
        <f aca="false">IF(W$5&lt;=假设!$D$25+1,0,W9*假设!$D$20)</f>
        <v>5400</v>
      </c>
      <c r="X10" s="11" t="n">
        <f aca="false">IF(X$5&lt;=假设!$D$25+1,0,X9*假设!$D$20)</f>
        <v>5550.00000000001</v>
      </c>
      <c r="Y10" s="11" t="n">
        <f aca="false">IF(Y$5&lt;=假设!$D$25+1,0,Y9*假设!$D$20)</f>
        <v>5700.00000000001</v>
      </c>
      <c r="Z10" s="11" t="n">
        <f aca="false">IF(Z$5&lt;=假设!$D$25+1,0,Z9*假设!$D$20)</f>
        <v>5850</v>
      </c>
      <c r="AA10" s="11" t="n">
        <f aca="false">IF(AA$5&lt;=假设!$D$25+1,0,AA9*假设!$D$20)</f>
        <v>6000</v>
      </c>
      <c r="AB10" s="11" t="n">
        <f aca="false">IF(AB$5&lt;=假设!$D$25+1,0,AB9*假设!$D$20)</f>
        <v>6150</v>
      </c>
      <c r="AC10" s="11" t="n">
        <f aca="false">IF(AC$5&lt;=假设!$D$25+1,0,AC9*假设!$D$20)</f>
        <v>6300.00000000001</v>
      </c>
      <c r="AD10" s="11" t="n">
        <f aca="false">IF(AD$5&lt;=假设!$D$25+1,0,AD9*假设!$D$20)</f>
        <v>6450.00000000001</v>
      </c>
      <c r="AE10" s="11" t="n">
        <f aca="false">IF(AE$5&lt;=假设!$D$25+1,0,AE9*假设!$D$20)</f>
        <v>6600.00000000001</v>
      </c>
      <c r="AF10" s="11" t="n">
        <f aca="false">IF(AF$5&lt;=假设!$D$25+1,0,AF9*假设!$D$20)</f>
        <v>3750</v>
      </c>
      <c r="AG10" s="11" t="n">
        <f aca="false">IF(AG$5&lt;=假设!$D$25+1,0,AG9*假设!$D$20)</f>
        <v>3750</v>
      </c>
      <c r="AH10" s="11" t="n">
        <f aca="false">IF(AH$5&lt;=假设!$D$25+1,0,AH9*假设!$D$20)</f>
        <v>3750</v>
      </c>
      <c r="AI10" s="11" t="n">
        <f aca="false">IF(AI$5&lt;=假设!$D$25+1,0,AI9*假设!$D$20)</f>
        <v>3750</v>
      </c>
      <c r="AJ10" s="11" t="n">
        <f aca="false">IF(AJ$5&lt;=假设!$D$25+1,0,AJ9*假设!$D$20)</f>
        <v>3750</v>
      </c>
      <c r="AK10" s="11" t="n">
        <f aca="false">IF(AK$5&lt;=假设!$D$25+1,0,AK9*假设!$D$20)</f>
        <v>3750</v>
      </c>
      <c r="AL10" s="11" t="n">
        <f aca="false">IF(AL$5&lt;=假设!$D$25+1,0,AL9*假设!$D$20)</f>
        <v>3750</v>
      </c>
      <c r="AM10" s="11" t="n">
        <f aca="false">IF(AM$5&lt;=假设!$D$25+1,0,AM9*假设!$D$20)</f>
        <v>3750</v>
      </c>
      <c r="AN10" s="3"/>
    </row>
    <row r="11" customFormat="false" ht="24" hidden="false" customHeight="true" outlineLevel="0" collapsed="false">
      <c r="A11" s="1"/>
      <c r="B11" s="1"/>
      <c r="C11" s="8" t="s">
        <v>168</v>
      </c>
      <c r="D11" s="11" t="n">
        <f aca="false">D6*单位经济!$D$10</f>
        <v>0</v>
      </c>
      <c r="E11" s="11" t="n">
        <f aca="false">E6*单位经济!$D$10</f>
        <v>0</v>
      </c>
      <c r="F11" s="11" t="n">
        <f aca="false">F6*单位经济!$D$10</f>
        <v>0</v>
      </c>
      <c r="G11" s="11" t="n">
        <f aca="false">G6*单位经济!$D$10</f>
        <v>0</v>
      </c>
      <c r="H11" s="11" t="n">
        <f aca="false">H6*单位经济!$D$10</f>
        <v>16000000</v>
      </c>
      <c r="I11" s="11" t="n">
        <f aca="false">I6*单位经济!$D$10</f>
        <v>24000000</v>
      </c>
      <c r="J11" s="11" t="n">
        <f aca="false">J6*单位经济!$D$10</f>
        <v>32000000</v>
      </c>
      <c r="K11" s="11" t="n">
        <f aca="false">K6*单位经济!$D$10</f>
        <v>40000000</v>
      </c>
      <c r="L11" s="11" t="n">
        <f aca="false">L6*单位经济!$D$10</f>
        <v>48000000</v>
      </c>
      <c r="M11" s="11" t="n">
        <f aca="false">M6*单位经济!$D$10</f>
        <v>56000000</v>
      </c>
      <c r="N11" s="11" t="n">
        <f aca="false">N6*单位经济!$D$10</f>
        <v>64000000</v>
      </c>
      <c r="O11" s="11" t="n">
        <f aca="false">O6*单位经济!$D$10</f>
        <v>72000000</v>
      </c>
      <c r="P11" s="11" t="n">
        <f aca="false">P6*单位经济!$D$10</f>
        <v>80000000</v>
      </c>
      <c r="Q11" s="11" t="n">
        <f aca="false">Q6*单位经济!$D$10</f>
        <v>88000000</v>
      </c>
      <c r="R11" s="11" t="n">
        <f aca="false">R6*单位经济!$D$10</f>
        <v>96000000</v>
      </c>
      <c r="S11" s="11" t="n">
        <f aca="false">S6*单位经济!$D$10</f>
        <v>104000000</v>
      </c>
      <c r="T11" s="11" t="n">
        <f aca="false">T6*单位经济!$D$10</f>
        <v>112000000</v>
      </c>
      <c r="U11" s="11" t="n">
        <f aca="false">U6*单位经济!$D$10</f>
        <v>120000000</v>
      </c>
      <c r="V11" s="11" t="n">
        <f aca="false">V6*单位经济!$D$10</f>
        <v>128000000</v>
      </c>
      <c r="W11" s="11" t="n">
        <f aca="false">W6*单位经济!$D$10</f>
        <v>136000000</v>
      </c>
      <c r="X11" s="11" t="n">
        <f aca="false">X6*单位经济!$D$10</f>
        <v>144000000</v>
      </c>
      <c r="Y11" s="11" t="n">
        <f aca="false">Y6*单位经济!$D$10</f>
        <v>152000000</v>
      </c>
      <c r="Z11" s="11" t="n">
        <f aca="false">Z6*单位经济!$D$10</f>
        <v>160000000</v>
      </c>
      <c r="AA11" s="11" t="n">
        <f aca="false">AA6*单位经济!$D$10</f>
        <v>168000000</v>
      </c>
      <c r="AB11" s="11" t="n">
        <f aca="false">AB6*单位经济!$D$10</f>
        <v>176000000</v>
      </c>
      <c r="AC11" s="11" t="n">
        <f aca="false">AC6*单位经济!$D$10</f>
        <v>184000000</v>
      </c>
      <c r="AD11" s="11" t="n">
        <f aca="false">AD6*单位经济!$D$10</f>
        <v>192000000</v>
      </c>
      <c r="AE11" s="11" t="n">
        <f aca="false">AE6*单位经济!$D$10</f>
        <v>200000000</v>
      </c>
      <c r="AF11" s="11" t="n">
        <f aca="false">AF6*单位经济!$D$10</f>
        <v>200000000</v>
      </c>
      <c r="AG11" s="11" t="n">
        <f aca="false">AG6*单位经济!$D$10</f>
        <v>200000000</v>
      </c>
      <c r="AH11" s="11" t="n">
        <f aca="false">AH6*单位经济!$D$10</f>
        <v>200000000</v>
      </c>
      <c r="AI11" s="11" t="n">
        <f aca="false">AI6*单位经济!$D$10</f>
        <v>200000000</v>
      </c>
      <c r="AJ11" s="11" t="n">
        <f aca="false">AJ6*单位经济!$D$10</f>
        <v>200000000</v>
      </c>
      <c r="AK11" s="11" t="n">
        <f aca="false">AK6*单位经济!$D$10</f>
        <v>200000000</v>
      </c>
      <c r="AL11" s="11" t="n">
        <f aca="false">AL6*单位经济!$D$10</f>
        <v>200000000</v>
      </c>
      <c r="AM11" s="11" t="n">
        <f aca="false">AM6*单位经济!$D$10</f>
        <v>200000000</v>
      </c>
      <c r="AN11" s="3"/>
    </row>
    <row r="12" customFormat="false" ht="24" hidden="false" customHeight="true" outlineLevel="0" collapsed="false">
      <c r="A12" s="1"/>
      <c r="B12" s="1"/>
      <c r="C12" s="8" t="s">
        <v>169</v>
      </c>
      <c r="D12" s="11" t="n">
        <f aca="false">D6*假设!$D$6</f>
        <v>0</v>
      </c>
      <c r="E12" s="11" t="n">
        <f aca="false">E6*假设!$D$6</f>
        <v>0</v>
      </c>
      <c r="F12" s="11" t="n">
        <f aca="false">F6*假设!$D$6</f>
        <v>0</v>
      </c>
      <c r="G12" s="11" t="n">
        <f aca="false">G6*假设!$D$6</f>
        <v>0</v>
      </c>
      <c r="H12" s="11" t="n">
        <f aca="false">H6*假设!$D$6</f>
        <v>80000</v>
      </c>
      <c r="I12" s="11" t="n">
        <f aca="false">I6*假设!$D$6</f>
        <v>120000</v>
      </c>
      <c r="J12" s="11" t="n">
        <f aca="false">J6*假设!$D$6</f>
        <v>160000</v>
      </c>
      <c r="K12" s="11" t="n">
        <f aca="false">K6*假设!$D$6</f>
        <v>200000</v>
      </c>
      <c r="L12" s="11" t="n">
        <f aca="false">L6*假设!$D$6</f>
        <v>240000</v>
      </c>
      <c r="M12" s="11" t="n">
        <f aca="false">M6*假设!$D$6</f>
        <v>280000</v>
      </c>
      <c r="N12" s="11" t="n">
        <f aca="false">N6*假设!$D$6</f>
        <v>320000</v>
      </c>
      <c r="O12" s="11" t="n">
        <f aca="false">O6*假设!$D$6</f>
        <v>360000</v>
      </c>
      <c r="P12" s="11" t="n">
        <f aca="false">P6*假设!$D$6</f>
        <v>400000</v>
      </c>
      <c r="Q12" s="11" t="n">
        <f aca="false">Q6*假设!$D$6</f>
        <v>440000</v>
      </c>
      <c r="R12" s="11" t="n">
        <f aca="false">R6*假设!$D$6</f>
        <v>480000</v>
      </c>
      <c r="S12" s="11" t="n">
        <f aca="false">S6*假设!$D$6</f>
        <v>520000</v>
      </c>
      <c r="T12" s="11" t="n">
        <f aca="false">T6*假设!$D$6</f>
        <v>560000</v>
      </c>
      <c r="U12" s="11" t="n">
        <f aca="false">U6*假设!$D$6</f>
        <v>600000</v>
      </c>
      <c r="V12" s="11" t="n">
        <f aca="false">V6*假设!$D$6</f>
        <v>640000</v>
      </c>
      <c r="W12" s="11" t="n">
        <f aca="false">W6*假设!$D$6</f>
        <v>680000</v>
      </c>
      <c r="X12" s="11" t="n">
        <f aca="false">X6*假设!$D$6</f>
        <v>720000</v>
      </c>
      <c r="Y12" s="11" t="n">
        <f aca="false">Y6*假设!$D$6</f>
        <v>760000</v>
      </c>
      <c r="Z12" s="11" t="n">
        <f aca="false">Z6*假设!$D$6</f>
        <v>800000</v>
      </c>
      <c r="AA12" s="11" t="n">
        <f aca="false">AA6*假设!$D$6</f>
        <v>840000</v>
      </c>
      <c r="AB12" s="11" t="n">
        <f aca="false">AB6*假设!$D$6</f>
        <v>880000</v>
      </c>
      <c r="AC12" s="11" t="n">
        <f aca="false">AC6*假设!$D$6</f>
        <v>920000</v>
      </c>
      <c r="AD12" s="11" t="n">
        <f aca="false">AD6*假设!$D$6</f>
        <v>960000</v>
      </c>
      <c r="AE12" s="11" t="n">
        <f aca="false">AE6*假设!$D$6</f>
        <v>1000000</v>
      </c>
      <c r="AF12" s="11" t="n">
        <f aca="false">AF6*假设!$D$6</f>
        <v>1000000</v>
      </c>
      <c r="AG12" s="11" t="n">
        <f aca="false">AG6*假设!$D$6</f>
        <v>1000000</v>
      </c>
      <c r="AH12" s="11" t="n">
        <f aca="false">AH6*假设!$D$6</f>
        <v>1000000</v>
      </c>
      <c r="AI12" s="11" t="n">
        <f aca="false">AI6*假设!$D$6</f>
        <v>1000000</v>
      </c>
      <c r="AJ12" s="11" t="n">
        <f aca="false">AJ6*假设!$D$6</f>
        <v>1000000</v>
      </c>
      <c r="AK12" s="11" t="n">
        <f aca="false">AK6*假设!$D$6</f>
        <v>1000000</v>
      </c>
      <c r="AL12" s="11" t="n">
        <f aca="false">AL6*假设!$D$6</f>
        <v>1000000</v>
      </c>
      <c r="AM12" s="11" t="n">
        <f aca="false">AM6*假设!$D$6</f>
        <v>1000000</v>
      </c>
      <c r="AN12" s="3"/>
    </row>
    <row r="13" customFormat="false" ht="24" hidden="false" customHeight="true" outlineLevel="0" collapsed="false">
      <c r="A13" s="1"/>
      <c r="B13" s="1"/>
      <c r="C13" s="8" t="s">
        <v>170</v>
      </c>
      <c r="D13" s="2" t="n">
        <f aca="false">D12+D14</f>
        <v>0</v>
      </c>
      <c r="E13" s="2" t="n">
        <f aca="false">E12+E14</f>
        <v>0</v>
      </c>
      <c r="F13" s="2" t="n">
        <f aca="false">F12+F14</f>
        <v>0</v>
      </c>
      <c r="G13" s="2" t="n">
        <f aca="false">G12+G14</f>
        <v>0</v>
      </c>
      <c r="H13" s="2" t="n">
        <f aca="false">H12+H14</f>
        <v>92000</v>
      </c>
      <c r="I13" s="2" t="n">
        <f aca="false">I12+I14</f>
        <v>138000</v>
      </c>
      <c r="J13" s="2" t="n">
        <f aca="false">J12+J14</f>
        <v>184000</v>
      </c>
      <c r="K13" s="2" t="n">
        <f aca="false">K12+K14</f>
        <v>230000</v>
      </c>
      <c r="L13" s="2" t="n">
        <f aca="false">L12+L14</f>
        <v>276000</v>
      </c>
      <c r="M13" s="2" t="n">
        <f aca="false">M12+M14</f>
        <v>322000</v>
      </c>
      <c r="N13" s="2" t="n">
        <f aca="false">N12+N14</f>
        <v>368000</v>
      </c>
      <c r="O13" s="2" t="n">
        <f aca="false">O12+O14</f>
        <v>414000</v>
      </c>
      <c r="P13" s="2" t="n">
        <f aca="false">P12+P14</f>
        <v>460000</v>
      </c>
      <c r="Q13" s="2" t="n">
        <f aca="false">Q12+Q14</f>
        <v>506000</v>
      </c>
      <c r="R13" s="2" t="n">
        <f aca="false">R12+R14</f>
        <v>552000</v>
      </c>
      <c r="S13" s="2" t="n">
        <f aca="false">S12+S14</f>
        <v>598000</v>
      </c>
      <c r="T13" s="2" t="n">
        <f aca="false">T12+T14</f>
        <v>644000</v>
      </c>
      <c r="U13" s="2" t="n">
        <f aca="false">U12+U14</f>
        <v>690000</v>
      </c>
      <c r="V13" s="2" t="n">
        <f aca="false">V12+V14</f>
        <v>736000</v>
      </c>
      <c r="W13" s="2" t="n">
        <f aca="false">W12+W14</f>
        <v>782000</v>
      </c>
      <c r="X13" s="2" t="n">
        <f aca="false">X12+X14</f>
        <v>828000</v>
      </c>
      <c r="Y13" s="2" t="n">
        <f aca="false">Y12+Y14</f>
        <v>874000</v>
      </c>
      <c r="Z13" s="2" t="n">
        <f aca="false">Z12+Z14</f>
        <v>920000</v>
      </c>
      <c r="AA13" s="2" t="n">
        <f aca="false">AA12+AA14</f>
        <v>966000</v>
      </c>
      <c r="AB13" s="2" t="n">
        <f aca="false">AB12+AB14</f>
        <v>1012000</v>
      </c>
      <c r="AC13" s="2" t="n">
        <f aca="false">AC12+AC14</f>
        <v>1058000</v>
      </c>
      <c r="AD13" s="2" t="n">
        <f aca="false">AD12+AD14</f>
        <v>1104000</v>
      </c>
      <c r="AE13" s="2" t="n">
        <f aca="false">AE12+AE14</f>
        <v>1150000</v>
      </c>
      <c r="AF13" s="2" t="n">
        <f aca="false">AF12+AF14</f>
        <v>1150000</v>
      </c>
      <c r="AG13" s="2" t="n">
        <f aca="false">AG12+AG14</f>
        <v>1150000</v>
      </c>
      <c r="AH13" s="2" t="n">
        <f aca="false">AH12+AH14</f>
        <v>1150000</v>
      </c>
      <c r="AI13" s="2" t="n">
        <f aca="false">AI12+AI14</f>
        <v>1150000</v>
      </c>
      <c r="AJ13" s="2" t="n">
        <f aca="false">AJ12+AJ14</f>
        <v>1150000</v>
      </c>
      <c r="AK13" s="2" t="n">
        <f aca="false">AK12+AK14</f>
        <v>1150000</v>
      </c>
      <c r="AL13" s="2" t="n">
        <f aca="false">AL12+AL14</f>
        <v>1150000</v>
      </c>
      <c r="AM13" s="2" t="n">
        <f aca="false">AM12+AM14</f>
        <v>1150000</v>
      </c>
      <c r="AN13" s="3"/>
    </row>
    <row r="14" customFormat="false" ht="24" hidden="false" customHeight="true" outlineLevel="0" collapsed="false">
      <c r="A14" s="1"/>
      <c r="B14" s="1"/>
      <c r="C14" s="25" t="s">
        <v>171</v>
      </c>
      <c r="D14" s="26" t="n">
        <f aca="false">D6*单位经济!$D$6</f>
        <v>0</v>
      </c>
      <c r="E14" s="26" t="n">
        <f aca="false">E6*单位经济!$D$6</f>
        <v>0</v>
      </c>
      <c r="F14" s="26" t="n">
        <f aca="false">F6*单位经济!$D$6</f>
        <v>0</v>
      </c>
      <c r="G14" s="26" t="n">
        <f aca="false">G6*单位经济!$D$6</f>
        <v>0</v>
      </c>
      <c r="H14" s="26" t="n">
        <f aca="false">H6*单位经济!$D$6</f>
        <v>12000</v>
      </c>
      <c r="I14" s="26" t="n">
        <f aca="false">I6*单位经济!$D$6</f>
        <v>18000</v>
      </c>
      <c r="J14" s="26" t="n">
        <f aca="false">J6*单位经济!$D$6</f>
        <v>24000</v>
      </c>
      <c r="K14" s="26" t="n">
        <f aca="false">K6*单位经济!$D$6</f>
        <v>30000</v>
      </c>
      <c r="L14" s="26" t="n">
        <f aca="false">L6*单位经济!$D$6</f>
        <v>36000</v>
      </c>
      <c r="M14" s="26" t="n">
        <f aca="false">M6*单位经济!$D$6</f>
        <v>42000</v>
      </c>
      <c r="N14" s="26" t="n">
        <f aca="false">N6*单位经济!$D$6</f>
        <v>48000</v>
      </c>
      <c r="O14" s="26" t="n">
        <f aca="false">O6*单位经济!$D$6</f>
        <v>54000</v>
      </c>
      <c r="P14" s="26" t="n">
        <f aca="false">P6*单位经济!$D$6</f>
        <v>60000</v>
      </c>
      <c r="Q14" s="26" t="n">
        <f aca="false">Q6*单位经济!$D$6</f>
        <v>66000</v>
      </c>
      <c r="R14" s="26" t="n">
        <f aca="false">R6*单位经济!$D$6</f>
        <v>72000</v>
      </c>
      <c r="S14" s="26" t="n">
        <f aca="false">S6*单位经济!$D$6</f>
        <v>78000</v>
      </c>
      <c r="T14" s="26" t="n">
        <f aca="false">T6*单位经济!$D$6</f>
        <v>84000</v>
      </c>
      <c r="U14" s="26" t="n">
        <f aca="false">U6*单位经济!$D$6</f>
        <v>90000</v>
      </c>
      <c r="V14" s="26" t="n">
        <f aca="false">V6*单位经济!$D$6</f>
        <v>96000</v>
      </c>
      <c r="W14" s="26" t="n">
        <f aca="false">W6*单位经济!$D$6</f>
        <v>102000</v>
      </c>
      <c r="X14" s="26" t="n">
        <f aca="false">X6*单位经济!$D$6</f>
        <v>108000</v>
      </c>
      <c r="Y14" s="26" t="n">
        <f aca="false">Y6*单位经济!$D$6</f>
        <v>114000</v>
      </c>
      <c r="Z14" s="26" t="n">
        <f aca="false">Z6*单位经济!$D$6</f>
        <v>120000</v>
      </c>
      <c r="AA14" s="26" t="n">
        <f aca="false">AA6*单位经济!$D$6</f>
        <v>126000</v>
      </c>
      <c r="AB14" s="26" t="n">
        <f aca="false">AB6*单位经济!$D$6</f>
        <v>132000</v>
      </c>
      <c r="AC14" s="26" t="n">
        <f aca="false">AC6*单位经济!$D$6</f>
        <v>138000</v>
      </c>
      <c r="AD14" s="26" t="n">
        <f aca="false">AD6*单位经济!$D$6</f>
        <v>144000</v>
      </c>
      <c r="AE14" s="26" t="n">
        <f aca="false">AE6*单位经济!$D$6</f>
        <v>150000</v>
      </c>
      <c r="AF14" s="26" t="n">
        <f aca="false">AF6*单位经济!$D$6</f>
        <v>150000</v>
      </c>
      <c r="AG14" s="26" t="n">
        <f aca="false">AG6*单位经济!$D$6</f>
        <v>150000</v>
      </c>
      <c r="AH14" s="26" t="n">
        <f aca="false">AH6*单位经济!$D$6</f>
        <v>150000</v>
      </c>
      <c r="AI14" s="26" t="n">
        <f aca="false">AI6*单位经济!$D$6</f>
        <v>150000</v>
      </c>
      <c r="AJ14" s="26" t="n">
        <f aca="false">AJ6*单位经济!$D$6</f>
        <v>150000</v>
      </c>
      <c r="AK14" s="26" t="n">
        <f aca="false">AK6*单位经济!$D$6</f>
        <v>150000</v>
      </c>
      <c r="AL14" s="26" t="n">
        <f aca="false">AL6*单位经济!$D$6</f>
        <v>150000</v>
      </c>
      <c r="AM14" s="26" t="n">
        <f aca="false">AM6*单位经济!$D$6</f>
        <v>150000</v>
      </c>
      <c r="AN14" s="3"/>
    </row>
    <row r="15" customFormat="false" ht="24" hidden="false" customHeight="true" outlineLevel="0" collapsed="false">
      <c r="A15" s="1"/>
      <c r="B15" s="1"/>
      <c r="C15" s="8" t="s">
        <v>172</v>
      </c>
      <c r="D15" s="11" t="n">
        <f aca="false">D6*单位经济!$D$11</f>
        <v>0</v>
      </c>
      <c r="E15" s="11" t="n">
        <f aca="false">E6*单位经济!$D$11</f>
        <v>0</v>
      </c>
      <c r="F15" s="11" t="n">
        <f aca="false">F6*单位经济!$D$11</f>
        <v>0</v>
      </c>
      <c r="G15" s="11" t="n">
        <f aca="false">G6*单位经济!$D$11</f>
        <v>0</v>
      </c>
      <c r="H15" s="11" t="n">
        <f aca="false">H6*单位经济!$D$11</f>
        <v>4800</v>
      </c>
      <c r="I15" s="11" t="n">
        <f aca="false">I6*单位经济!$D$11</f>
        <v>7200</v>
      </c>
      <c r="J15" s="11" t="n">
        <f aca="false">J6*单位经济!$D$11</f>
        <v>9600</v>
      </c>
      <c r="K15" s="11" t="n">
        <f aca="false">K6*单位经济!$D$11</f>
        <v>12000</v>
      </c>
      <c r="L15" s="11" t="n">
        <f aca="false">L6*单位经济!$D$11</f>
        <v>14400</v>
      </c>
      <c r="M15" s="11" t="n">
        <f aca="false">M6*单位经济!$D$11</f>
        <v>16800</v>
      </c>
      <c r="N15" s="11" t="n">
        <f aca="false">N6*单位经济!$D$11</f>
        <v>19200</v>
      </c>
      <c r="O15" s="11" t="n">
        <f aca="false">O6*单位经济!$D$11</f>
        <v>21600</v>
      </c>
      <c r="P15" s="11" t="n">
        <f aca="false">P6*单位经济!$D$11</f>
        <v>24000</v>
      </c>
      <c r="Q15" s="11" t="n">
        <f aca="false">Q6*单位经济!$D$11</f>
        <v>26400</v>
      </c>
      <c r="R15" s="11" t="n">
        <f aca="false">R6*单位经济!$D$11</f>
        <v>28800</v>
      </c>
      <c r="S15" s="11" t="n">
        <f aca="false">S6*单位经济!$D$11</f>
        <v>31200</v>
      </c>
      <c r="T15" s="11" t="n">
        <f aca="false">T6*单位经济!$D$11</f>
        <v>33600</v>
      </c>
      <c r="U15" s="11" t="n">
        <f aca="false">U6*单位经济!$D$11</f>
        <v>36000</v>
      </c>
      <c r="V15" s="11" t="n">
        <f aca="false">V6*单位经济!$D$11</f>
        <v>38400</v>
      </c>
      <c r="W15" s="11" t="n">
        <f aca="false">W6*单位经济!$D$11</f>
        <v>40800</v>
      </c>
      <c r="X15" s="11" t="n">
        <f aca="false">X6*单位经济!$D$11</f>
        <v>43200</v>
      </c>
      <c r="Y15" s="11" t="n">
        <f aca="false">Y6*单位经济!$D$11</f>
        <v>45600</v>
      </c>
      <c r="Z15" s="11" t="n">
        <f aca="false">Z6*单位经济!$D$11</f>
        <v>48000</v>
      </c>
      <c r="AA15" s="11" t="n">
        <f aca="false">AA6*单位经济!$D$11</f>
        <v>50400</v>
      </c>
      <c r="AB15" s="11" t="n">
        <f aca="false">AB6*单位经济!$D$11</f>
        <v>52800</v>
      </c>
      <c r="AC15" s="11" t="n">
        <f aca="false">AC6*单位经济!$D$11</f>
        <v>55200</v>
      </c>
      <c r="AD15" s="11" t="n">
        <f aca="false">AD6*单位经济!$D$11</f>
        <v>57600</v>
      </c>
      <c r="AE15" s="11" t="n">
        <f aca="false">AE6*单位经济!$D$11</f>
        <v>60000</v>
      </c>
      <c r="AF15" s="11" t="n">
        <f aca="false">AF6*单位经济!$D$11</f>
        <v>60000</v>
      </c>
      <c r="AG15" s="11" t="n">
        <f aca="false">AG6*单位经济!$D$11</f>
        <v>60000</v>
      </c>
      <c r="AH15" s="11" t="n">
        <f aca="false">AH6*单位经济!$D$11</f>
        <v>60000</v>
      </c>
      <c r="AI15" s="11" t="n">
        <f aca="false">AI6*单位经济!$D$11</f>
        <v>60000</v>
      </c>
      <c r="AJ15" s="11" t="n">
        <f aca="false">AJ6*单位经济!$D$11</f>
        <v>60000</v>
      </c>
      <c r="AK15" s="11" t="n">
        <f aca="false">AK6*单位经济!$D$11</f>
        <v>60000</v>
      </c>
      <c r="AL15" s="11" t="n">
        <f aca="false">AL6*单位经济!$D$11</f>
        <v>60000</v>
      </c>
      <c r="AM15" s="11" t="n">
        <f aca="false">AM6*单位经济!$D$11</f>
        <v>60000</v>
      </c>
      <c r="AN15" s="3"/>
    </row>
    <row r="16" customFormat="false" ht="24" hidden="false" customHeight="true" outlineLevel="0" collapsed="false">
      <c r="A16" s="1"/>
      <c r="B16" s="1"/>
      <c r="C16" s="8" t="s">
        <v>173</v>
      </c>
      <c r="D16" s="11" t="n">
        <f aca="false">IF(D$5&gt;假设!$D$25,假设!$D$14,0)</f>
        <v>0</v>
      </c>
      <c r="E16" s="11" t="n">
        <f aca="false">IF(E$5&gt;假设!$D$25,假设!$D$14,0)</f>
        <v>0</v>
      </c>
      <c r="F16" s="11" t="n">
        <f aca="false">IF(F$5&gt;假设!$D$25,假设!$D$14,0)</f>
        <v>0</v>
      </c>
      <c r="G16" s="11" t="n">
        <f aca="false">IF(G$5&gt;假设!$D$25,假设!$D$14,0)</f>
        <v>0</v>
      </c>
      <c r="H16" s="11" t="n">
        <f aca="false">IF(H$5&gt;假设!$D$25,假设!$D$14,0)</f>
        <v>2000</v>
      </c>
      <c r="I16" s="11" t="n">
        <f aca="false">IF(I$5&gt;假设!$D$25,假设!$D$14,0)</f>
        <v>2000</v>
      </c>
      <c r="J16" s="11" t="n">
        <f aca="false">IF(J$5&gt;假设!$D$25,假设!$D$14,0)</f>
        <v>2000</v>
      </c>
      <c r="K16" s="11" t="n">
        <f aca="false">IF(K$5&gt;假设!$D$25,假设!$D$14,0)</f>
        <v>2000</v>
      </c>
      <c r="L16" s="11" t="n">
        <f aca="false">IF(L$5&gt;假设!$D$25,假设!$D$14,0)</f>
        <v>2000</v>
      </c>
      <c r="M16" s="11" t="n">
        <f aca="false">IF(M$5&gt;假设!$D$25,假设!$D$14,0)</f>
        <v>2000</v>
      </c>
      <c r="N16" s="11" t="n">
        <f aca="false">IF(N$5&gt;假设!$D$25,假设!$D$14,0)</f>
        <v>2000</v>
      </c>
      <c r="O16" s="11" t="n">
        <f aca="false">IF(O$5&gt;假设!$D$25,假设!$D$14,0)</f>
        <v>2000</v>
      </c>
      <c r="P16" s="11" t="n">
        <f aca="false">IF(P$5&gt;假设!$D$25,假设!$D$14,0)</f>
        <v>2000</v>
      </c>
      <c r="Q16" s="11" t="n">
        <f aca="false">IF(Q$5&gt;假设!$D$25,假设!$D$14,0)</f>
        <v>2000</v>
      </c>
      <c r="R16" s="11" t="n">
        <f aca="false">IF(R$5&gt;假设!$D$25,假设!$D$14,0)</f>
        <v>2000</v>
      </c>
      <c r="S16" s="11" t="n">
        <f aca="false">IF(S$5&gt;假设!$D$25,假设!$D$14,0)</f>
        <v>2000</v>
      </c>
      <c r="T16" s="11" t="n">
        <f aca="false">IF(T$5&gt;假设!$D$25,假设!$D$14,0)</f>
        <v>2000</v>
      </c>
      <c r="U16" s="11" t="n">
        <f aca="false">IF(U$5&gt;假设!$D$25,假设!$D$14,0)</f>
        <v>2000</v>
      </c>
      <c r="V16" s="11" t="n">
        <f aca="false">IF(V$5&gt;假设!$D$25,假设!$D$14,0)</f>
        <v>2000</v>
      </c>
      <c r="W16" s="11" t="n">
        <f aca="false">IF(W$5&gt;假设!$D$25,假设!$D$14,0)</f>
        <v>2000</v>
      </c>
      <c r="X16" s="11" t="n">
        <f aca="false">IF(X$5&gt;假设!$D$25,假设!$D$14,0)</f>
        <v>2000</v>
      </c>
      <c r="Y16" s="11" t="n">
        <f aca="false">IF(Y$5&gt;假设!$D$25,假设!$D$14,0)</f>
        <v>2000</v>
      </c>
      <c r="Z16" s="11" t="n">
        <f aca="false">IF(Z$5&gt;假设!$D$25,假设!$D$14,0)</f>
        <v>2000</v>
      </c>
      <c r="AA16" s="11" t="n">
        <f aca="false">IF(AA$5&gt;假设!$D$25,假设!$D$14,0)</f>
        <v>2000</v>
      </c>
      <c r="AB16" s="11" t="n">
        <f aca="false">IF(AB$5&gt;假设!$D$25,假设!$D$14,0)</f>
        <v>2000</v>
      </c>
      <c r="AC16" s="11" t="n">
        <f aca="false">IF(AC$5&gt;假设!$D$25,假设!$D$14,0)</f>
        <v>2000</v>
      </c>
      <c r="AD16" s="11" t="n">
        <f aca="false">IF(AD$5&gt;假设!$D$25,假设!$D$14,0)</f>
        <v>2000</v>
      </c>
      <c r="AE16" s="11" t="n">
        <f aca="false">IF(AE$5&gt;假设!$D$25,假设!$D$14,0)</f>
        <v>2000</v>
      </c>
      <c r="AF16" s="11" t="n">
        <f aca="false">IF(AF$5&gt;假设!$D$25,假设!$D$14,0)</f>
        <v>2000</v>
      </c>
      <c r="AG16" s="11" t="n">
        <f aca="false">IF(AG$5&gt;假设!$D$25,假设!$D$14,0)</f>
        <v>2000</v>
      </c>
      <c r="AH16" s="11" t="n">
        <f aca="false">IF(AH$5&gt;假设!$D$25,假设!$D$14,0)</f>
        <v>2000</v>
      </c>
      <c r="AI16" s="11" t="n">
        <f aca="false">IF(AI$5&gt;假设!$D$25,假设!$D$14,0)</f>
        <v>2000</v>
      </c>
      <c r="AJ16" s="11" t="n">
        <f aca="false">IF(AJ$5&gt;假设!$D$25,假设!$D$14,0)</f>
        <v>2000</v>
      </c>
      <c r="AK16" s="11" t="n">
        <f aca="false">IF(AK$5&gt;假设!$D$25,假设!$D$14,0)</f>
        <v>2000</v>
      </c>
      <c r="AL16" s="11" t="n">
        <f aca="false">IF(AL$5&gt;假设!$D$25,假设!$D$14,0)</f>
        <v>2000</v>
      </c>
      <c r="AM16" s="11" t="n">
        <f aca="false">IF(AM$5&gt;假设!$D$25,假设!$D$14,0)</f>
        <v>2000</v>
      </c>
      <c r="AN16" s="3"/>
    </row>
    <row r="17" customFormat="false" ht="24" hidden="false" customHeight="true" outlineLevel="0" collapsed="false">
      <c r="A17" s="1"/>
      <c r="B17" s="1"/>
      <c r="C17" s="8" t="s">
        <v>174</v>
      </c>
      <c r="D17" s="2" t="n">
        <f aca="false">SUM(D15:D16)</f>
        <v>0</v>
      </c>
      <c r="E17" s="2" t="n">
        <f aca="false">SUM(E15:E16)</f>
        <v>0</v>
      </c>
      <c r="F17" s="2" t="n">
        <f aca="false">SUM(F15:F16)</f>
        <v>0</v>
      </c>
      <c r="G17" s="2" t="n">
        <f aca="false">SUM(G15:G16)</f>
        <v>0</v>
      </c>
      <c r="H17" s="2" t="n">
        <f aca="false">SUM(H15:H16)</f>
        <v>6800</v>
      </c>
      <c r="I17" s="2" t="n">
        <f aca="false">SUM(I15:I16)</f>
        <v>9200</v>
      </c>
      <c r="J17" s="2" t="n">
        <f aca="false">SUM(J15:J16)</f>
        <v>11600</v>
      </c>
      <c r="K17" s="2" t="n">
        <f aca="false">SUM(K15:K16)</f>
        <v>14000</v>
      </c>
      <c r="L17" s="2" t="n">
        <f aca="false">SUM(L15:L16)</f>
        <v>16400</v>
      </c>
      <c r="M17" s="2" t="n">
        <f aca="false">SUM(M15:M16)</f>
        <v>18800</v>
      </c>
      <c r="N17" s="2" t="n">
        <f aca="false">SUM(N15:N16)</f>
        <v>21200</v>
      </c>
      <c r="O17" s="2" t="n">
        <f aca="false">SUM(O15:O16)</f>
        <v>23600</v>
      </c>
      <c r="P17" s="2" t="n">
        <f aca="false">SUM(P15:P16)</f>
        <v>26000</v>
      </c>
      <c r="Q17" s="2" t="n">
        <f aca="false">SUM(Q15:Q16)</f>
        <v>28400</v>
      </c>
      <c r="R17" s="2" t="n">
        <f aca="false">SUM(R15:R16)</f>
        <v>30800</v>
      </c>
      <c r="S17" s="2" t="n">
        <f aca="false">SUM(S15:S16)</f>
        <v>33200</v>
      </c>
      <c r="T17" s="2" t="n">
        <f aca="false">SUM(T15:T16)</f>
        <v>35600</v>
      </c>
      <c r="U17" s="2" t="n">
        <f aca="false">SUM(U15:U16)</f>
        <v>38000</v>
      </c>
      <c r="V17" s="2" t="n">
        <f aca="false">SUM(V15:V16)</f>
        <v>40400</v>
      </c>
      <c r="W17" s="2" t="n">
        <f aca="false">SUM(W15:W16)</f>
        <v>42800</v>
      </c>
      <c r="X17" s="2" t="n">
        <f aca="false">SUM(X15:X16)</f>
        <v>45200</v>
      </c>
      <c r="Y17" s="2" t="n">
        <f aca="false">SUM(Y15:Y16)</f>
        <v>47600</v>
      </c>
      <c r="Z17" s="2" t="n">
        <f aca="false">SUM(Z15:Z16)</f>
        <v>50000</v>
      </c>
      <c r="AA17" s="2" t="n">
        <f aca="false">SUM(AA15:AA16)</f>
        <v>52400</v>
      </c>
      <c r="AB17" s="2" t="n">
        <f aca="false">SUM(AB15:AB16)</f>
        <v>54800</v>
      </c>
      <c r="AC17" s="2" t="n">
        <f aca="false">SUM(AC15:AC16)</f>
        <v>57200</v>
      </c>
      <c r="AD17" s="2" t="n">
        <f aca="false">SUM(AD15:AD16)</f>
        <v>59600</v>
      </c>
      <c r="AE17" s="2" t="n">
        <f aca="false">SUM(AE15:AE16)</f>
        <v>62000</v>
      </c>
      <c r="AF17" s="2" t="n">
        <f aca="false">SUM(AF15:AF16)</f>
        <v>62000</v>
      </c>
      <c r="AG17" s="2" t="n">
        <f aca="false">SUM(AG15:AG16)</f>
        <v>62000</v>
      </c>
      <c r="AH17" s="2" t="n">
        <f aca="false">SUM(AH15:AH16)</f>
        <v>62000</v>
      </c>
      <c r="AI17" s="2" t="n">
        <f aca="false">SUM(AI15:AI16)</f>
        <v>62000</v>
      </c>
      <c r="AJ17" s="2" t="n">
        <f aca="false">SUM(AJ15:AJ16)</f>
        <v>62000</v>
      </c>
      <c r="AK17" s="2" t="n">
        <f aca="false">SUM(AK15:AK16)</f>
        <v>62000</v>
      </c>
      <c r="AL17" s="2" t="n">
        <f aca="false">SUM(AL15:AL16)</f>
        <v>62000</v>
      </c>
      <c r="AM17" s="2" t="n">
        <f aca="false">SUM(AM15:AM16)</f>
        <v>62000</v>
      </c>
      <c r="AN17" s="3"/>
    </row>
    <row r="18" customFormat="false" ht="24" hidden="false" customHeight="true" outlineLevel="0" collapsed="false">
      <c r="A18" s="1"/>
      <c r="B18" s="1"/>
      <c r="C18" s="25" t="s">
        <v>148</v>
      </c>
      <c r="D18" s="27" t="n">
        <f aca="false">D14-D17</f>
        <v>0</v>
      </c>
      <c r="E18" s="27" t="n">
        <f aca="false">E14-E17</f>
        <v>0</v>
      </c>
      <c r="F18" s="27" t="n">
        <f aca="false">F14-F17</f>
        <v>0</v>
      </c>
      <c r="G18" s="27" t="n">
        <f aca="false">G14-G17</f>
        <v>0</v>
      </c>
      <c r="H18" s="27" t="n">
        <f aca="false">H14-H17</f>
        <v>5200</v>
      </c>
      <c r="I18" s="27" t="n">
        <f aca="false">I14-I17</f>
        <v>8800</v>
      </c>
      <c r="J18" s="27" t="n">
        <f aca="false">J14-J17</f>
        <v>12400</v>
      </c>
      <c r="K18" s="27" t="n">
        <f aca="false">K14-K17</f>
        <v>16000</v>
      </c>
      <c r="L18" s="27" t="n">
        <f aca="false">L14-L17</f>
        <v>19600</v>
      </c>
      <c r="M18" s="27" t="n">
        <f aca="false">M14-M17</f>
        <v>23200</v>
      </c>
      <c r="N18" s="27" t="n">
        <f aca="false">N14-N17</f>
        <v>26800</v>
      </c>
      <c r="O18" s="27" t="n">
        <f aca="false">O14-O17</f>
        <v>30400</v>
      </c>
      <c r="P18" s="27" t="n">
        <f aca="false">P14-P17</f>
        <v>34000</v>
      </c>
      <c r="Q18" s="27" t="n">
        <f aca="false">Q14-Q17</f>
        <v>37600</v>
      </c>
      <c r="R18" s="27" t="n">
        <f aca="false">R14-R17</f>
        <v>41200</v>
      </c>
      <c r="S18" s="27" t="n">
        <f aca="false">S14-S17</f>
        <v>44800</v>
      </c>
      <c r="T18" s="27" t="n">
        <f aca="false">T14-T17</f>
        <v>48400</v>
      </c>
      <c r="U18" s="27" t="n">
        <f aca="false">U14-U17</f>
        <v>52000</v>
      </c>
      <c r="V18" s="27" t="n">
        <f aca="false">V14-V17</f>
        <v>55600</v>
      </c>
      <c r="W18" s="27" t="n">
        <f aca="false">W14-W17</f>
        <v>59200</v>
      </c>
      <c r="X18" s="27" t="n">
        <f aca="false">X14-X17</f>
        <v>62800</v>
      </c>
      <c r="Y18" s="27" t="n">
        <f aca="false">Y14-Y17</f>
        <v>66400</v>
      </c>
      <c r="Z18" s="27" t="n">
        <f aca="false">Z14-Z17</f>
        <v>70000</v>
      </c>
      <c r="AA18" s="27" t="n">
        <f aca="false">AA14-AA17</f>
        <v>73600</v>
      </c>
      <c r="AB18" s="27" t="n">
        <f aca="false">AB14-AB17</f>
        <v>77200</v>
      </c>
      <c r="AC18" s="27" t="n">
        <f aca="false">AC14-AC17</f>
        <v>80800</v>
      </c>
      <c r="AD18" s="27" t="n">
        <f aca="false">AD14-AD17</f>
        <v>84400</v>
      </c>
      <c r="AE18" s="27" t="n">
        <f aca="false">AE14-AE17</f>
        <v>88000</v>
      </c>
      <c r="AF18" s="27" t="n">
        <f aca="false">AF14-AF17</f>
        <v>88000</v>
      </c>
      <c r="AG18" s="27" t="n">
        <f aca="false">AG14-AG17</f>
        <v>88000</v>
      </c>
      <c r="AH18" s="27" t="n">
        <f aca="false">AH14-AH17</f>
        <v>88000</v>
      </c>
      <c r="AI18" s="27" t="n">
        <f aca="false">AI14-AI17</f>
        <v>88000</v>
      </c>
      <c r="AJ18" s="27" t="n">
        <f aca="false">AJ14-AJ17</f>
        <v>88000</v>
      </c>
      <c r="AK18" s="27" t="n">
        <f aca="false">AK14-AK17</f>
        <v>88000</v>
      </c>
      <c r="AL18" s="27" t="n">
        <f aca="false">AL14-AL17</f>
        <v>88000</v>
      </c>
      <c r="AM18" s="27" t="n">
        <f aca="false">AM14-AM17</f>
        <v>88000</v>
      </c>
      <c r="AN18" s="3"/>
    </row>
    <row r="19" customFormat="false" ht="24" hidden="false" customHeight="true" outlineLevel="0" collapsed="false">
      <c r="A19" s="1"/>
      <c r="B19" s="1"/>
      <c r="C19" s="8" t="s">
        <v>149</v>
      </c>
      <c r="D19" s="10" t="str">
        <f aca="false">IF(D14=0,"不适用",D18/D14)</f>
        <v>不适用</v>
      </c>
      <c r="E19" s="10" t="str">
        <f aca="false">IF(E14=0,"不适用",E18/E14)</f>
        <v>不适用</v>
      </c>
      <c r="F19" s="10" t="str">
        <f aca="false">IF(F14=0,"不适用",F18/F14)</f>
        <v>不适用</v>
      </c>
      <c r="G19" s="10" t="str">
        <f aca="false">IF(G14=0,"不适用",G18/G14)</f>
        <v>不适用</v>
      </c>
      <c r="H19" s="10" t="n">
        <f aca="false">IF(H14=0,"不适用",H18/H14)</f>
        <v>0.433333333333333</v>
      </c>
      <c r="I19" s="10" t="n">
        <f aca="false">IF(I14=0,"不适用",I18/I14)</f>
        <v>0.488888888888889</v>
      </c>
      <c r="J19" s="10" t="n">
        <f aca="false">IF(J14=0,"不适用",J18/J14)</f>
        <v>0.516666666666667</v>
      </c>
      <c r="K19" s="10" t="n">
        <f aca="false">IF(K14=0,"不适用",K18/K14)</f>
        <v>0.533333333333333</v>
      </c>
      <c r="L19" s="10" t="n">
        <f aca="false">IF(L14=0,"不适用",L18/L14)</f>
        <v>0.544444444444444</v>
      </c>
      <c r="M19" s="10" t="n">
        <f aca="false">IF(M14=0,"不适用",M18/M14)</f>
        <v>0.552380952380952</v>
      </c>
      <c r="N19" s="10" t="n">
        <f aca="false">IF(N14=0,"不适用",N18/N14)</f>
        <v>0.558333333333333</v>
      </c>
      <c r="O19" s="10" t="n">
        <f aca="false">IF(O14=0,"不适用",O18/O14)</f>
        <v>0.562962962962963</v>
      </c>
      <c r="P19" s="10" t="n">
        <f aca="false">IF(P14=0,"不适用",P18/P14)</f>
        <v>0.566666666666667</v>
      </c>
      <c r="Q19" s="10" t="n">
        <f aca="false">IF(Q14=0,"不适用",Q18/Q14)</f>
        <v>0.56969696969697</v>
      </c>
      <c r="R19" s="10" t="n">
        <f aca="false">IF(R14=0,"不适用",R18/R14)</f>
        <v>0.572222222222222</v>
      </c>
      <c r="S19" s="10" t="n">
        <f aca="false">IF(S14=0,"不适用",S18/S14)</f>
        <v>0.574358974358974</v>
      </c>
      <c r="T19" s="10" t="n">
        <f aca="false">IF(T14=0,"不适用",T18/T14)</f>
        <v>0.576190476190476</v>
      </c>
      <c r="U19" s="10" t="n">
        <f aca="false">IF(U14=0,"不适用",U18/U14)</f>
        <v>0.577777777777778</v>
      </c>
      <c r="V19" s="10" t="n">
        <f aca="false">IF(V14=0,"不适用",V18/V14)</f>
        <v>0.579166666666667</v>
      </c>
      <c r="W19" s="10" t="n">
        <f aca="false">IF(W14=0,"不适用",W18/W14)</f>
        <v>0.580392156862745</v>
      </c>
      <c r="X19" s="10" t="n">
        <f aca="false">IF(X14=0,"不适用",X18/X14)</f>
        <v>0.581481481481482</v>
      </c>
      <c r="Y19" s="10" t="n">
        <f aca="false">IF(Y14=0,"不适用",Y18/Y14)</f>
        <v>0.582456140350877</v>
      </c>
      <c r="Z19" s="10" t="n">
        <f aca="false">IF(Z14=0,"不适用",Z18/Z14)</f>
        <v>0.583333333333333</v>
      </c>
      <c r="AA19" s="10" t="n">
        <f aca="false">IF(AA14=0,"不适用",AA18/AA14)</f>
        <v>0.584126984126984</v>
      </c>
      <c r="AB19" s="10" t="n">
        <f aca="false">IF(AB14=0,"不适用",AB18/AB14)</f>
        <v>0.584848484848485</v>
      </c>
      <c r="AC19" s="10" t="n">
        <f aca="false">IF(AC14=0,"不适用",AC18/AC14)</f>
        <v>0.585507246376812</v>
      </c>
      <c r="AD19" s="10" t="n">
        <f aca="false">IF(AD14=0,"不适用",AD18/AD14)</f>
        <v>0.586111111111111</v>
      </c>
      <c r="AE19" s="10" t="n">
        <f aca="false">IF(AE14=0,"不适用",AE18/AE14)</f>
        <v>0.586666666666667</v>
      </c>
      <c r="AF19" s="10" t="n">
        <f aca="false">IF(AF14=0,"不适用",AF18/AF14)</f>
        <v>0.586666666666667</v>
      </c>
      <c r="AG19" s="10" t="n">
        <f aca="false">IF(AG14=0,"不适用",AG18/AG14)</f>
        <v>0.586666666666667</v>
      </c>
      <c r="AH19" s="10" t="n">
        <f aca="false">IF(AH14=0,"不适用",AH18/AH14)</f>
        <v>0.586666666666667</v>
      </c>
      <c r="AI19" s="10" t="n">
        <f aca="false">IF(AI14=0,"不适用",AI18/AI14)</f>
        <v>0.586666666666667</v>
      </c>
      <c r="AJ19" s="10" t="n">
        <f aca="false">IF(AJ14=0,"不适用",AJ18/AJ14)</f>
        <v>0.586666666666667</v>
      </c>
      <c r="AK19" s="10" t="n">
        <f aca="false">IF(AK14=0,"不适用",AK18/AK14)</f>
        <v>0.586666666666667</v>
      </c>
      <c r="AL19" s="10" t="n">
        <f aca="false">IF(AL14=0,"不适用",AL18/AL14)</f>
        <v>0.586666666666667</v>
      </c>
      <c r="AM19" s="10" t="n">
        <f aca="false">IF(AM14=0,"不适用",AM18/AM14)</f>
        <v>0.586666666666667</v>
      </c>
      <c r="AN19" s="3"/>
    </row>
    <row r="20" customFormat="false" ht="24" hidden="false" customHeight="true" outlineLevel="0" collapsed="false">
      <c r="A20" s="1"/>
      <c r="B20" s="1"/>
      <c r="C20" s="8" t="s">
        <v>175</v>
      </c>
      <c r="D20" s="11" t="n">
        <f aca="false">D6*假设!$D$13</f>
        <v>0</v>
      </c>
      <c r="E20" s="11" t="n">
        <f aca="false">E6*假设!$D$13</f>
        <v>0</v>
      </c>
      <c r="F20" s="11" t="n">
        <f aca="false">F6*假设!$D$13</f>
        <v>0</v>
      </c>
      <c r="G20" s="11" t="n">
        <f aca="false">G6*假设!$D$13</f>
        <v>0</v>
      </c>
      <c r="H20" s="11" t="n">
        <f aca="false">H6*假设!$D$13</f>
        <v>1200</v>
      </c>
      <c r="I20" s="11" t="n">
        <f aca="false">I6*假设!$D$13</f>
        <v>1800</v>
      </c>
      <c r="J20" s="11" t="n">
        <f aca="false">J6*假设!$D$13</f>
        <v>2400</v>
      </c>
      <c r="K20" s="11" t="n">
        <f aca="false">K6*假设!$D$13</f>
        <v>3000</v>
      </c>
      <c r="L20" s="11" t="n">
        <f aca="false">L6*假设!$D$13</f>
        <v>3600</v>
      </c>
      <c r="M20" s="11" t="n">
        <f aca="false">M6*假设!$D$13</f>
        <v>4200</v>
      </c>
      <c r="N20" s="11" t="n">
        <f aca="false">N6*假设!$D$13</f>
        <v>4800</v>
      </c>
      <c r="O20" s="11" t="n">
        <f aca="false">O6*假设!$D$13</f>
        <v>5400</v>
      </c>
      <c r="P20" s="11" t="n">
        <f aca="false">P6*假设!$D$13</f>
        <v>6000</v>
      </c>
      <c r="Q20" s="11" t="n">
        <f aca="false">Q6*假设!$D$13</f>
        <v>6600</v>
      </c>
      <c r="R20" s="11" t="n">
        <f aca="false">R6*假设!$D$13</f>
        <v>7200</v>
      </c>
      <c r="S20" s="11" t="n">
        <f aca="false">S6*假设!$D$13</f>
        <v>7800</v>
      </c>
      <c r="T20" s="11" t="n">
        <f aca="false">T6*假设!$D$13</f>
        <v>8400</v>
      </c>
      <c r="U20" s="11" t="n">
        <f aca="false">U6*假设!$D$13</f>
        <v>9000</v>
      </c>
      <c r="V20" s="11" t="n">
        <f aca="false">V6*假设!$D$13</f>
        <v>9600</v>
      </c>
      <c r="W20" s="11" t="n">
        <f aca="false">W6*假设!$D$13</f>
        <v>10200</v>
      </c>
      <c r="X20" s="11" t="n">
        <f aca="false">X6*假设!$D$13</f>
        <v>10800</v>
      </c>
      <c r="Y20" s="11" t="n">
        <f aca="false">Y6*假设!$D$13</f>
        <v>11400</v>
      </c>
      <c r="Z20" s="11" t="n">
        <f aca="false">Z6*假设!$D$13</f>
        <v>12000</v>
      </c>
      <c r="AA20" s="11" t="n">
        <f aca="false">AA6*假设!$D$13</f>
        <v>12600</v>
      </c>
      <c r="AB20" s="11" t="n">
        <f aca="false">AB6*假设!$D$13</f>
        <v>13200</v>
      </c>
      <c r="AC20" s="11" t="n">
        <f aca="false">AC6*假设!$D$13</f>
        <v>13800</v>
      </c>
      <c r="AD20" s="11" t="n">
        <f aca="false">AD6*假设!$D$13</f>
        <v>14400</v>
      </c>
      <c r="AE20" s="11" t="n">
        <f aca="false">AE6*假设!$D$13</f>
        <v>15000</v>
      </c>
      <c r="AF20" s="11" t="n">
        <f aca="false">AF6*假设!$D$13</f>
        <v>15000</v>
      </c>
      <c r="AG20" s="11" t="n">
        <f aca="false">AG6*假设!$D$13</f>
        <v>15000</v>
      </c>
      <c r="AH20" s="11" t="n">
        <f aca="false">AH6*假设!$D$13</f>
        <v>15000</v>
      </c>
      <c r="AI20" s="11" t="n">
        <f aca="false">AI6*假设!$D$13</f>
        <v>15000</v>
      </c>
      <c r="AJ20" s="11" t="n">
        <f aca="false">AJ6*假设!$D$13</f>
        <v>15000</v>
      </c>
      <c r="AK20" s="11" t="n">
        <f aca="false">AK6*假设!$D$13</f>
        <v>15000</v>
      </c>
      <c r="AL20" s="11" t="n">
        <f aca="false">AL6*假设!$D$13</f>
        <v>15000</v>
      </c>
      <c r="AM20" s="11" t="n">
        <f aca="false">AM6*假设!$D$13</f>
        <v>15000</v>
      </c>
      <c r="AN20" s="3"/>
    </row>
    <row r="21" customFormat="false" ht="24" hidden="false" customHeight="true" outlineLevel="0" collapsed="false">
      <c r="A21" s="1"/>
      <c r="B21" s="1"/>
      <c r="C21" s="25" t="s">
        <v>176</v>
      </c>
      <c r="D21" s="27" t="n">
        <f aca="false">D14-D15-D20</f>
        <v>0</v>
      </c>
      <c r="E21" s="27" t="n">
        <f aca="false">E14-E15-E20</f>
        <v>0</v>
      </c>
      <c r="F21" s="27" t="n">
        <f aca="false">F14-F15-F20</f>
        <v>0</v>
      </c>
      <c r="G21" s="27" t="n">
        <f aca="false">G14-G15-G20</f>
        <v>0</v>
      </c>
      <c r="H21" s="27" t="n">
        <f aca="false">H14-H15-H20</f>
        <v>6000</v>
      </c>
      <c r="I21" s="27" t="n">
        <f aca="false">I14-I15-I20</f>
        <v>9000</v>
      </c>
      <c r="J21" s="27" t="n">
        <f aca="false">J14-J15-J20</f>
        <v>12000</v>
      </c>
      <c r="K21" s="27" t="n">
        <f aca="false">K14-K15-K20</f>
        <v>15000</v>
      </c>
      <c r="L21" s="27" t="n">
        <f aca="false">L14-L15-L20</f>
        <v>18000</v>
      </c>
      <c r="M21" s="27" t="n">
        <f aca="false">M14-M15-M20</f>
        <v>21000</v>
      </c>
      <c r="N21" s="27" t="n">
        <f aca="false">N14-N15-N20</f>
        <v>24000</v>
      </c>
      <c r="O21" s="27" t="n">
        <f aca="false">O14-O15-O20</f>
        <v>27000</v>
      </c>
      <c r="P21" s="27" t="n">
        <f aca="false">P14-P15-P20</f>
        <v>30000</v>
      </c>
      <c r="Q21" s="27" t="n">
        <f aca="false">Q14-Q15-Q20</f>
        <v>33000</v>
      </c>
      <c r="R21" s="27" t="n">
        <f aca="false">R14-R15-R20</f>
        <v>36000</v>
      </c>
      <c r="S21" s="27" t="n">
        <f aca="false">S14-S15-S20</f>
        <v>39000</v>
      </c>
      <c r="T21" s="27" t="n">
        <f aca="false">T14-T15-T20</f>
        <v>42000</v>
      </c>
      <c r="U21" s="27" t="n">
        <f aca="false">U14-U15-U20</f>
        <v>45000</v>
      </c>
      <c r="V21" s="27" t="n">
        <f aca="false">V14-V15-V20</f>
        <v>48000</v>
      </c>
      <c r="W21" s="27" t="n">
        <f aca="false">W14-W15-W20</f>
        <v>51000</v>
      </c>
      <c r="X21" s="27" t="n">
        <f aca="false">X14-X15-X20</f>
        <v>54000</v>
      </c>
      <c r="Y21" s="27" t="n">
        <f aca="false">Y14-Y15-Y20</f>
        <v>57000</v>
      </c>
      <c r="Z21" s="27" t="n">
        <f aca="false">Z14-Z15-Z20</f>
        <v>60000</v>
      </c>
      <c r="AA21" s="27" t="n">
        <f aca="false">AA14-AA15-AA20</f>
        <v>63000</v>
      </c>
      <c r="AB21" s="27" t="n">
        <f aca="false">AB14-AB15-AB20</f>
        <v>66000</v>
      </c>
      <c r="AC21" s="27" t="n">
        <f aca="false">AC14-AC15-AC20</f>
        <v>69000</v>
      </c>
      <c r="AD21" s="27" t="n">
        <f aca="false">AD14-AD15-AD20</f>
        <v>72000</v>
      </c>
      <c r="AE21" s="27" t="n">
        <f aca="false">AE14-AE15-AE20</f>
        <v>75000</v>
      </c>
      <c r="AF21" s="27" t="n">
        <f aca="false">AF14-AF15-AF20</f>
        <v>75000</v>
      </c>
      <c r="AG21" s="27" t="n">
        <f aca="false">AG14-AG15-AG20</f>
        <v>75000</v>
      </c>
      <c r="AH21" s="27" t="n">
        <f aca="false">AH14-AH15-AH20</f>
        <v>75000</v>
      </c>
      <c r="AI21" s="27" t="n">
        <f aca="false">AI14-AI15-AI20</f>
        <v>75000</v>
      </c>
      <c r="AJ21" s="27" t="n">
        <f aca="false">AJ14-AJ15-AJ20</f>
        <v>75000</v>
      </c>
      <c r="AK21" s="27" t="n">
        <f aca="false">AK14-AK15-AK20</f>
        <v>75000</v>
      </c>
      <c r="AL21" s="27" t="n">
        <f aca="false">AL14-AL15-AL20</f>
        <v>75000</v>
      </c>
      <c r="AM21" s="27" t="n">
        <f aca="false">AM14-AM15-AM20</f>
        <v>75000</v>
      </c>
      <c r="AN21" s="3"/>
    </row>
    <row r="22" customFormat="false" ht="24" hidden="false" customHeight="true" outlineLevel="0" collapsed="false">
      <c r="A22" s="1"/>
      <c r="B22" s="1"/>
      <c r="C22" s="8" t="s">
        <v>177</v>
      </c>
      <c r="D22" s="11" t="n">
        <f aca="false">IF(D$5&gt;假设!$D$25,假设!$D$15,0)</f>
        <v>0</v>
      </c>
      <c r="E22" s="11" t="n">
        <f aca="false">IF(E$5&gt;假设!$D$25,假设!$D$15,0)</f>
        <v>0</v>
      </c>
      <c r="F22" s="11" t="n">
        <f aca="false">IF(F$5&gt;假设!$D$25,假设!$D$15,0)</f>
        <v>0</v>
      </c>
      <c r="G22" s="11" t="n">
        <f aca="false">IF(G$5&gt;假设!$D$25,假设!$D$15,0)</f>
        <v>0</v>
      </c>
      <c r="H22" s="11" t="n">
        <f aca="false">IF(H$5&gt;假设!$D$25,假设!$D$15,0)</f>
        <v>15000</v>
      </c>
      <c r="I22" s="11" t="n">
        <f aca="false">IF(I$5&gt;假设!$D$25,假设!$D$15,0)</f>
        <v>15000</v>
      </c>
      <c r="J22" s="11" t="n">
        <f aca="false">IF(J$5&gt;假设!$D$25,假设!$D$15,0)</f>
        <v>15000</v>
      </c>
      <c r="K22" s="11" t="n">
        <f aca="false">IF(K$5&gt;假设!$D$25,假设!$D$15,0)</f>
        <v>15000</v>
      </c>
      <c r="L22" s="11" t="n">
        <f aca="false">IF(L$5&gt;假设!$D$25,假设!$D$15,0)</f>
        <v>15000</v>
      </c>
      <c r="M22" s="11" t="n">
        <f aca="false">IF(M$5&gt;假设!$D$25,假设!$D$15,0)</f>
        <v>15000</v>
      </c>
      <c r="N22" s="11" t="n">
        <f aca="false">IF(N$5&gt;假设!$D$25,假设!$D$15,0)</f>
        <v>15000</v>
      </c>
      <c r="O22" s="11" t="n">
        <f aca="false">IF(O$5&gt;假设!$D$25,假设!$D$15,0)</f>
        <v>15000</v>
      </c>
      <c r="P22" s="11" t="n">
        <f aca="false">IF(P$5&gt;假设!$D$25,假设!$D$15,0)</f>
        <v>15000</v>
      </c>
      <c r="Q22" s="11" t="n">
        <f aca="false">IF(Q$5&gt;假设!$D$25,假设!$D$15,0)</f>
        <v>15000</v>
      </c>
      <c r="R22" s="11" t="n">
        <f aca="false">IF(R$5&gt;假设!$D$25,假设!$D$15,0)</f>
        <v>15000</v>
      </c>
      <c r="S22" s="11" t="n">
        <f aca="false">IF(S$5&gt;假设!$D$25,假设!$D$15,0)</f>
        <v>15000</v>
      </c>
      <c r="T22" s="11" t="n">
        <f aca="false">IF(T$5&gt;假设!$D$25,假设!$D$15,0)</f>
        <v>15000</v>
      </c>
      <c r="U22" s="11" t="n">
        <f aca="false">IF(U$5&gt;假设!$D$25,假设!$D$15,0)</f>
        <v>15000</v>
      </c>
      <c r="V22" s="11" t="n">
        <f aca="false">IF(V$5&gt;假设!$D$25,假设!$D$15,0)</f>
        <v>15000</v>
      </c>
      <c r="W22" s="11" t="n">
        <f aca="false">IF(W$5&gt;假设!$D$25,假设!$D$15,0)</f>
        <v>15000</v>
      </c>
      <c r="X22" s="11" t="n">
        <f aca="false">IF(X$5&gt;假设!$D$25,假设!$D$15,0)</f>
        <v>15000</v>
      </c>
      <c r="Y22" s="11" t="n">
        <f aca="false">IF(Y$5&gt;假设!$D$25,假设!$D$15,0)</f>
        <v>15000</v>
      </c>
      <c r="Z22" s="11" t="n">
        <f aca="false">IF(Z$5&gt;假设!$D$25,假设!$D$15,0)</f>
        <v>15000</v>
      </c>
      <c r="AA22" s="11" t="n">
        <f aca="false">IF(AA$5&gt;假设!$D$25,假设!$D$15,0)</f>
        <v>15000</v>
      </c>
      <c r="AB22" s="11" t="n">
        <f aca="false">IF(AB$5&gt;假设!$D$25,假设!$D$15,0)</f>
        <v>15000</v>
      </c>
      <c r="AC22" s="11" t="n">
        <f aca="false">IF(AC$5&gt;假设!$D$25,假设!$D$15,0)</f>
        <v>15000</v>
      </c>
      <c r="AD22" s="11" t="n">
        <f aca="false">IF(AD$5&gt;假设!$D$25,假设!$D$15,0)</f>
        <v>15000</v>
      </c>
      <c r="AE22" s="11" t="n">
        <f aca="false">IF(AE$5&gt;假设!$D$25,假设!$D$15,0)</f>
        <v>15000</v>
      </c>
      <c r="AF22" s="11" t="n">
        <f aca="false">IF(AF$5&gt;假设!$D$25,假设!$D$15,0)</f>
        <v>15000</v>
      </c>
      <c r="AG22" s="11" t="n">
        <f aca="false">IF(AG$5&gt;假设!$D$25,假设!$D$15,0)</f>
        <v>15000</v>
      </c>
      <c r="AH22" s="11" t="n">
        <f aca="false">IF(AH$5&gt;假设!$D$25,假设!$D$15,0)</f>
        <v>15000</v>
      </c>
      <c r="AI22" s="11" t="n">
        <f aca="false">IF(AI$5&gt;假设!$D$25,假设!$D$15,0)</f>
        <v>15000</v>
      </c>
      <c r="AJ22" s="11" t="n">
        <f aca="false">IF(AJ$5&gt;假设!$D$25,假设!$D$15,0)</f>
        <v>15000</v>
      </c>
      <c r="AK22" s="11" t="n">
        <f aca="false">IF(AK$5&gt;假设!$D$25,假设!$D$15,0)</f>
        <v>15000</v>
      </c>
      <c r="AL22" s="11" t="n">
        <f aca="false">IF(AL$5&gt;假设!$D$25,假设!$D$15,0)</f>
        <v>15000</v>
      </c>
      <c r="AM22" s="11" t="n">
        <f aca="false">IF(AM$5&gt;假设!$D$25,假设!$D$15,0)</f>
        <v>15000</v>
      </c>
      <c r="AN22" s="3"/>
    </row>
    <row r="23" customFormat="false" ht="24" hidden="false" customHeight="true" outlineLevel="0" collapsed="false">
      <c r="A23" s="1"/>
      <c r="B23" s="1"/>
      <c r="C23" s="8" t="s">
        <v>178</v>
      </c>
      <c r="D23" s="11" t="n">
        <f aca="false">IF(D$5&lt;=假设!$D$25,假设!$D$18,0)</f>
        <v>12000</v>
      </c>
      <c r="E23" s="11" t="n">
        <f aca="false">IF(E$5&lt;=假设!$D$25,假设!$D$18,0)</f>
        <v>12000</v>
      </c>
      <c r="F23" s="11" t="n">
        <f aca="false">IF(F$5&lt;=假设!$D$25,假设!$D$18,0)</f>
        <v>12000</v>
      </c>
      <c r="G23" s="11" t="n">
        <f aca="false">IF(G$5&lt;=假设!$D$25,假设!$D$18,0)</f>
        <v>12000</v>
      </c>
      <c r="H23" s="11" t="n">
        <f aca="false">IF(H$5&lt;=假设!$D$25,假设!$D$18,0)</f>
        <v>0</v>
      </c>
      <c r="I23" s="11" t="n">
        <f aca="false">IF(I$5&lt;=假设!$D$25,假设!$D$18,0)</f>
        <v>0</v>
      </c>
      <c r="J23" s="11" t="n">
        <f aca="false">IF(J$5&lt;=假设!$D$25,假设!$D$18,0)</f>
        <v>0</v>
      </c>
      <c r="K23" s="11" t="n">
        <f aca="false">IF(K$5&lt;=假设!$D$25,假设!$D$18,0)</f>
        <v>0</v>
      </c>
      <c r="L23" s="11" t="n">
        <f aca="false">IF(L$5&lt;=假设!$D$25,假设!$D$18,0)</f>
        <v>0</v>
      </c>
      <c r="M23" s="11" t="n">
        <f aca="false">IF(M$5&lt;=假设!$D$25,假设!$D$18,0)</f>
        <v>0</v>
      </c>
      <c r="N23" s="11" t="n">
        <f aca="false">IF(N$5&lt;=假设!$D$25,假设!$D$18,0)</f>
        <v>0</v>
      </c>
      <c r="O23" s="11" t="n">
        <f aca="false">IF(O$5&lt;=假设!$D$25,假设!$D$18,0)</f>
        <v>0</v>
      </c>
      <c r="P23" s="11" t="n">
        <f aca="false">IF(P$5&lt;=假设!$D$25,假设!$D$18,0)</f>
        <v>0</v>
      </c>
      <c r="Q23" s="11" t="n">
        <f aca="false">IF(Q$5&lt;=假设!$D$25,假设!$D$18,0)</f>
        <v>0</v>
      </c>
      <c r="R23" s="11" t="n">
        <f aca="false">IF(R$5&lt;=假设!$D$25,假设!$D$18,0)</f>
        <v>0</v>
      </c>
      <c r="S23" s="11" t="n">
        <f aca="false">IF(S$5&lt;=假设!$D$25,假设!$D$18,0)</f>
        <v>0</v>
      </c>
      <c r="T23" s="11" t="n">
        <f aca="false">IF(T$5&lt;=假设!$D$25,假设!$D$18,0)</f>
        <v>0</v>
      </c>
      <c r="U23" s="11" t="n">
        <f aca="false">IF(U$5&lt;=假设!$D$25,假设!$D$18,0)</f>
        <v>0</v>
      </c>
      <c r="V23" s="11" t="n">
        <f aca="false">IF(V$5&lt;=假设!$D$25,假设!$D$18,0)</f>
        <v>0</v>
      </c>
      <c r="W23" s="11" t="n">
        <f aca="false">IF(W$5&lt;=假设!$D$25,假设!$D$18,0)</f>
        <v>0</v>
      </c>
      <c r="X23" s="11" t="n">
        <f aca="false">IF(X$5&lt;=假设!$D$25,假设!$D$18,0)</f>
        <v>0</v>
      </c>
      <c r="Y23" s="11" t="n">
        <f aca="false">IF(Y$5&lt;=假设!$D$25,假设!$D$18,0)</f>
        <v>0</v>
      </c>
      <c r="Z23" s="11" t="n">
        <f aca="false">IF(Z$5&lt;=假设!$D$25,假设!$D$18,0)</f>
        <v>0</v>
      </c>
      <c r="AA23" s="11" t="n">
        <f aca="false">IF(AA$5&lt;=假设!$D$25,假设!$D$18,0)</f>
        <v>0</v>
      </c>
      <c r="AB23" s="11" t="n">
        <f aca="false">IF(AB$5&lt;=假设!$D$25,假设!$D$18,0)</f>
        <v>0</v>
      </c>
      <c r="AC23" s="11" t="n">
        <f aca="false">IF(AC$5&lt;=假设!$D$25,假设!$D$18,0)</f>
        <v>0</v>
      </c>
      <c r="AD23" s="11" t="n">
        <f aca="false">IF(AD$5&lt;=假设!$D$25,假设!$D$18,0)</f>
        <v>0</v>
      </c>
      <c r="AE23" s="11" t="n">
        <f aca="false">IF(AE$5&lt;=假设!$D$25,假设!$D$18,0)</f>
        <v>0</v>
      </c>
      <c r="AF23" s="11" t="n">
        <f aca="false">IF(AF$5&lt;=假设!$D$25,假设!$D$18,0)</f>
        <v>0</v>
      </c>
      <c r="AG23" s="11" t="n">
        <f aca="false">IF(AG$5&lt;=假设!$D$25,假设!$D$18,0)</f>
        <v>0</v>
      </c>
      <c r="AH23" s="11" t="n">
        <f aca="false">IF(AH$5&lt;=假设!$D$25,假设!$D$18,0)</f>
        <v>0</v>
      </c>
      <c r="AI23" s="11" t="n">
        <f aca="false">IF(AI$5&lt;=假设!$D$25,假设!$D$18,0)</f>
        <v>0</v>
      </c>
      <c r="AJ23" s="11" t="n">
        <f aca="false">IF(AJ$5&lt;=假设!$D$25,假设!$D$18,0)</f>
        <v>0</v>
      </c>
      <c r="AK23" s="11" t="n">
        <f aca="false">IF(AK$5&lt;=假设!$D$25,假设!$D$18,0)</f>
        <v>0</v>
      </c>
      <c r="AL23" s="11" t="n">
        <f aca="false">IF(AL$5&lt;=假设!$D$25,假设!$D$18,0)</f>
        <v>0</v>
      </c>
      <c r="AM23" s="11" t="n">
        <f aca="false">IF(AM$5&lt;=假设!$D$25,假设!$D$18,0)</f>
        <v>0</v>
      </c>
      <c r="AN23" s="3"/>
    </row>
    <row r="24" customFormat="false" ht="24" hidden="false" customHeight="true" outlineLevel="0" collapsed="false">
      <c r="A24" s="1"/>
      <c r="B24" s="1"/>
      <c r="C24" s="25" t="s">
        <v>179</v>
      </c>
      <c r="D24" s="27" t="n">
        <f aca="false">D18-D20-D22-D23-D10</f>
        <v>-12000</v>
      </c>
      <c r="E24" s="27" t="n">
        <f aca="false">E18-E20-E22-E23-E10</f>
        <v>-12000</v>
      </c>
      <c r="F24" s="27" t="n">
        <f aca="false">F18-F20-F22-F23-F10</f>
        <v>-12000</v>
      </c>
      <c r="G24" s="27" t="n">
        <f aca="false">G18-G20-G22-G23-G10</f>
        <v>-12000</v>
      </c>
      <c r="H24" s="27" t="n">
        <f aca="false">H18-H20-H22-H23-H10</f>
        <v>-11000</v>
      </c>
      <c r="I24" s="27" t="n">
        <f aca="false">I18-I20-I22-I23-I10</f>
        <v>-11300</v>
      </c>
      <c r="J24" s="27" t="n">
        <f aca="false">J18-J20-J22-J23-J10</f>
        <v>-8450</v>
      </c>
      <c r="K24" s="27" t="n">
        <f aca="false">K18-K20-K22-K23-K10</f>
        <v>-5600</v>
      </c>
      <c r="L24" s="27" t="n">
        <f aca="false">L18-L20-L22-L23-L10</f>
        <v>-2750</v>
      </c>
      <c r="M24" s="27" t="n">
        <f aca="false">M18-M20-M22-M23-M10</f>
        <v>99.9999999999977</v>
      </c>
      <c r="N24" s="27" t="n">
        <f aca="false">N18-N20-N22-N23-N10</f>
        <v>2950</v>
      </c>
      <c r="O24" s="27" t="n">
        <f aca="false">O18-O20-O22-O23-O10</f>
        <v>5800</v>
      </c>
      <c r="P24" s="27" t="n">
        <f aca="false">P18-P20-P22-P23-P10</f>
        <v>8650</v>
      </c>
      <c r="Q24" s="27" t="n">
        <f aca="false">Q18-Q20-Q22-Q23-Q10</f>
        <v>11500</v>
      </c>
      <c r="R24" s="27" t="n">
        <f aca="false">R18-R20-R22-R23-R10</f>
        <v>14350</v>
      </c>
      <c r="S24" s="27" t="n">
        <f aca="false">S18-S20-S22-S23-S10</f>
        <v>17200</v>
      </c>
      <c r="T24" s="27" t="n">
        <f aca="false">T18-T20-T22-T23-T10</f>
        <v>20050</v>
      </c>
      <c r="U24" s="27" t="n">
        <f aca="false">U18-U20-U22-U23-U10</f>
        <v>22900</v>
      </c>
      <c r="V24" s="27" t="n">
        <f aca="false">V18-V20-V22-V23-V10</f>
        <v>25750</v>
      </c>
      <c r="W24" s="27" t="n">
        <f aca="false">W18-W20-W22-W23-W10</f>
        <v>28600</v>
      </c>
      <c r="X24" s="27" t="n">
        <f aca="false">X18-X20-X22-X23-X10</f>
        <v>31450</v>
      </c>
      <c r="Y24" s="27" t="n">
        <f aca="false">Y18-Y20-Y22-Y23-Y10</f>
        <v>34300</v>
      </c>
      <c r="Z24" s="27" t="n">
        <f aca="false">Z18-Z20-Z22-Z23-Z10</f>
        <v>37150</v>
      </c>
      <c r="AA24" s="27" t="n">
        <f aca="false">AA18-AA20-AA22-AA23-AA10</f>
        <v>40000</v>
      </c>
      <c r="AB24" s="27" t="n">
        <f aca="false">AB18-AB20-AB22-AB23-AB10</f>
        <v>42850</v>
      </c>
      <c r="AC24" s="27" t="n">
        <f aca="false">AC18-AC20-AC22-AC23-AC10</f>
        <v>45700</v>
      </c>
      <c r="AD24" s="27" t="n">
        <f aca="false">AD18-AD20-AD22-AD23-AD10</f>
        <v>48550</v>
      </c>
      <c r="AE24" s="27" t="n">
        <f aca="false">AE18-AE20-AE22-AE23-AE10</f>
        <v>51400</v>
      </c>
      <c r="AF24" s="27" t="n">
        <f aca="false">AF18-AF20-AF22-AF23-AF10</f>
        <v>54250</v>
      </c>
      <c r="AG24" s="27" t="n">
        <f aca="false">AG18-AG20-AG22-AG23-AG10</f>
        <v>54250</v>
      </c>
      <c r="AH24" s="27" t="n">
        <f aca="false">AH18-AH20-AH22-AH23-AH10</f>
        <v>54250</v>
      </c>
      <c r="AI24" s="27" t="n">
        <f aca="false">AI18-AI20-AI22-AI23-AI10</f>
        <v>54250</v>
      </c>
      <c r="AJ24" s="27" t="n">
        <f aca="false">AJ18-AJ20-AJ22-AJ23-AJ10</f>
        <v>54250</v>
      </c>
      <c r="AK24" s="27" t="n">
        <f aca="false">AK18-AK20-AK22-AK23-AK10</f>
        <v>54250</v>
      </c>
      <c r="AL24" s="27" t="n">
        <f aca="false">AL18-AL20-AL22-AL23-AL10</f>
        <v>54250</v>
      </c>
      <c r="AM24" s="27" t="n">
        <f aca="false">AM18-AM20-AM22-AM23-AM10</f>
        <v>54250</v>
      </c>
      <c r="AN24" s="3"/>
    </row>
    <row r="25" customFormat="false" ht="24" hidden="false" customHeight="true" outlineLevel="0" collapsed="false">
      <c r="A25" s="1"/>
      <c r="B25" s="1"/>
      <c r="C25" s="8" t="s">
        <v>180</v>
      </c>
      <c r="D25" s="10" t="str">
        <f aca="false">IF(D14=0,"不适用",D24/D14)</f>
        <v>不适用</v>
      </c>
      <c r="E25" s="10" t="str">
        <f aca="false">IF(E14=0,"不适用",E24/E14)</f>
        <v>不适用</v>
      </c>
      <c r="F25" s="10" t="str">
        <f aca="false">IF(F14=0,"不适用",F24/F14)</f>
        <v>不适用</v>
      </c>
      <c r="G25" s="10" t="str">
        <f aca="false">IF(G14=0,"不适用",G24/G14)</f>
        <v>不适用</v>
      </c>
      <c r="H25" s="10" t="n">
        <f aca="false">IF(H14=0,"不适用",H24/H14)</f>
        <v>-0.916666666666667</v>
      </c>
      <c r="I25" s="10" t="n">
        <f aca="false">IF(I14=0,"不适用",I24/I14)</f>
        <v>-0.627777777777778</v>
      </c>
      <c r="J25" s="10" t="n">
        <f aca="false">IF(J14=0,"不适用",J24/J14)</f>
        <v>-0.352083333333333</v>
      </c>
      <c r="K25" s="10" t="n">
        <f aca="false">IF(K14=0,"不适用",K24/K14)</f>
        <v>-0.186666666666667</v>
      </c>
      <c r="L25" s="10" t="n">
        <f aca="false">IF(L14=0,"不适用",L24/L14)</f>
        <v>-0.0763888888888889</v>
      </c>
      <c r="M25" s="10" t="n">
        <f aca="false">IF(M14=0,"不适用",M24/M14)</f>
        <v>0.00238095238095233</v>
      </c>
      <c r="N25" s="10" t="n">
        <f aca="false">IF(N14=0,"不适用",N24/N14)</f>
        <v>0.0614583333333333</v>
      </c>
      <c r="O25" s="10" t="n">
        <f aca="false">IF(O14=0,"不适用",O24/O14)</f>
        <v>0.107407407407407</v>
      </c>
      <c r="P25" s="10" t="n">
        <f aca="false">IF(P14=0,"不适用",P24/P14)</f>
        <v>0.144166666666667</v>
      </c>
      <c r="Q25" s="10" t="n">
        <f aca="false">IF(Q14=0,"不适用",Q24/Q14)</f>
        <v>0.174242424242424</v>
      </c>
      <c r="R25" s="10" t="n">
        <f aca="false">IF(R14=0,"不适用",R24/R14)</f>
        <v>0.199305555555556</v>
      </c>
      <c r="S25" s="10" t="n">
        <f aca="false">IF(S14=0,"不适用",S24/S14)</f>
        <v>0.22051282051282</v>
      </c>
      <c r="T25" s="10" t="n">
        <f aca="false">IF(T14=0,"不适用",T24/T14)</f>
        <v>0.238690476190476</v>
      </c>
      <c r="U25" s="10" t="n">
        <f aca="false">IF(U14=0,"不适用",U24/U14)</f>
        <v>0.254444444444444</v>
      </c>
      <c r="V25" s="10" t="n">
        <f aca="false">IF(V14=0,"不适用",V24/V14)</f>
        <v>0.268229166666667</v>
      </c>
      <c r="W25" s="10" t="n">
        <f aca="false">IF(W14=0,"不适用",W24/W14)</f>
        <v>0.280392156862745</v>
      </c>
      <c r="X25" s="10" t="n">
        <f aca="false">IF(X14=0,"不适用",X24/X14)</f>
        <v>0.291203703703704</v>
      </c>
      <c r="Y25" s="10" t="n">
        <f aca="false">IF(Y14=0,"不适用",Y24/Y14)</f>
        <v>0.300877192982456</v>
      </c>
      <c r="Z25" s="10" t="n">
        <f aca="false">IF(Z14=0,"不适用",Z24/Z14)</f>
        <v>0.309583333333333</v>
      </c>
      <c r="AA25" s="10" t="n">
        <f aca="false">IF(AA14=0,"不适用",AA24/AA14)</f>
        <v>0.317460317460317</v>
      </c>
      <c r="AB25" s="10" t="n">
        <f aca="false">IF(AB14=0,"不适用",AB24/AB14)</f>
        <v>0.324621212121212</v>
      </c>
      <c r="AC25" s="10" t="n">
        <f aca="false">IF(AC14=0,"不适用",AC24/AC14)</f>
        <v>0.331159420289855</v>
      </c>
      <c r="AD25" s="10" t="n">
        <f aca="false">IF(AD14=0,"不适用",AD24/AD14)</f>
        <v>0.337152777777778</v>
      </c>
      <c r="AE25" s="10" t="n">
        <f aca="false">IF(AE14=0,"不适用",AE24/AE14)</f>
        <v>0.342666666666667</v>
      </c>
      <c r="AF25" s="10" t="n">
        <f aca="false">IF(AF14=0,"不适用",AF24/AF14)</f>
        <v>0.361666666666667</v>
      </c>
      <c r="AG25" s="10" t="n">
        <f aca="false">IF(AG14=0,"不适用",AG24/AG14)</f>
        <v>0.361666666666667</v>
      </c>
      <c r="AH25" s="10" t="n">
        <f aca="false">IF(AH14=0,"不适用",AH24/AH14)</f>
        <v>0.361666666666667</v>
      </c>
      <c r="AI25" s="10" t="n">
        <f aca="false">IF(AI14=0,"不适用",AI24/AI14)</f>
        <v>0.361666666666667</v>
      </c>
      <c r="AJ25" s="10" t="n">
        <f aca="false">IF(AJ14=0,"不适用",AJ24/AJ14)</f>
        <v>0.361666666666667</v>
      </c>
      <c r="AK25" s="10" t="n">
        <f aca="false">IF(AK14=0,"不适用",AK24/AK14)</f>
        <v>0.361666666666667</v>
      </c>
      <c r="AL25" s="10" t="n">
        <f aca="false">IF(AL14=0,"不适用",AL24/AL14)</f>
        <v>0.361666666666667</v>
      </c>
      <c r="AM25" s="10" t="n">
        <f aca="false">IF(AM14=0,"不适用",AM24/AM14)</f>
        <v>0.361666666666667</v>
      </c>
      <c r="AN25" s="3"/>
    </row>
    <row r="26" customFormat="false" ht="24" hidden="false" customHeight="true" outlineLevel="0" collapsed="false">
      <c r="A26" s="1"/>
      <c r="B26" s="1"/>
      <c r="C26" s="8" t="s">
        <v>181</v>
      </c>
      <c r="D26" s="11" t="n">
        <f aca="false">IF(D$5&lt;=假设!$D$25,(假设!$D$16+假设!$D$17)/假设!$D$25,0)</f>
        <v>47437.5</v>
      </c>
      <c r="E26" s="11" t="n">
        <f aca="false">IF(E$5&lt;=假设!$D$25,(假设!$D$16+假设!$D$17)/假设!$D$25,0)</f>
        <v>47437.5</v>
      </c>
      <c r="F26" s="11" t="n">
        <f aca="false">IF(F$5&lt;=假设!$D$25,(假设!$D$16+假设!$D$17)/假设!$D$25,0)</f>
        <v>47437.5</v>
      </c>
      <c r="G26" s="11" t="n">
        <f aca="false">IF(G$5&lt;=假设!$D$25,(假设!$D$16+假设!$D$17)/假设!$D$25,0)</f>
        <v>47437.5</v>
      </c>
      <c r="H26" s="11" t="n">
        <f aca="false">IF(H$5&lt;=假设!$D$25,(假设!$D$16+假设!$D$17)/假设!$D$25,0)</f>
        <v>0</v>
      </c>
      <c r="I26" s="11" t="n">
        <f aca="false">IF(I$5&lt;=假设!$D$25,(假设!$D$16+假设!$D$17)/假设!$D$25,0)</f>
        <v>0</v>
      </c>
      <c r="J26" s="11" t="n">
        <f aca="false">IF(J$5&lt;=假设!$D$25,(假设!$D$16+假设!$D$17)/假设!$D$25,0)</f>
        <v>0</v>
      </c>
      <c r="K26" s="11" t="n">
        <f aca="false">IF(K$5&lt;=假设!$D$25,(假设!$D$16+假设!$D$17)/假设!$D$25,0)</f>
        <v>0</v>
      </c>
      <c r="L26" s="11" t="n">
        <f aca="false">IF(L$5&lt;=假设!$D$25,(假设!$D$16+假设!$D$17)/假设!$D$25,0)</f>
        <v>0</v>
      </c>
      <c r="M26" s="11" t="n">
        <f aca="false">IF(M$5&lt;=假设!$D$25,(假设!$D$16+假设!$D$17)/假设!$D$25,0)</f>
        <v>0</v>
      </c>
      <c r="N26" s="11" t="n">
        <f aca="false">IF(N$5&lt;=假设!$D$25,(假设!$D$16+假设!$D$17)/假设!$D$25,0)</f>
        <v>0</v>
      </c>
      <c r="O26" s="11" t="n">
        <f aca="false">IF(O$5&lt;=假设!$D$25,(假设!$D$16+假设!$D$17)/假设!$D$25,0)</f>
        <v>0</v>
      </c>
      <c r="P26" s="11" t="n">
        <f aca="false">IF(P$5&lt;=假设!$D$25,(假设!$D$16+假设!$D$17)/假设!$D$25,0)</f>
        <v>0</v>
      </c>
      <c r="Q26" s="11" t="n">
        <f aca="false">IF(Q$5&lt;=假设!$D$25,(假设!$D$16+假设!$D$17)/假设!$D$25,0)</f>
        <v>0</v>
      </c>
      <c r="R26" s="11" t="n">
        <f aca="false">IF(R$5&lt;=假设!$D$25,(假设!$D$16+假设!$D$17)/假设!$D$25,0)</f>
        <v>0</v>
      </c>
      <c r="S26" s="11" t="n">
        <f aca="false">IF(S$5&lt;=假设!$D$25,(假设!$D$16+假设!$D$17)/假设!$D$25,0)</f>
        <v>0</v>
      </c>
      <c r="T26" s="11" t="n">
        <f aca="false">IF(T$5&lt;=假设!$D$25,(假设!$D$16+假设!$D$17)/假设!$D$25,0)</f>
        <v>0</v>
      </c>
      <c r="U26" s="11" t="n">
        <f aca="false">IF(U$5&lt;=假设!$D$25,(假设!$D$16+假设!$D$17)/假设!$D$25,0)</f>
        <v>0</v>
      </c>
      <c r="V26" s="11" t="n">
        <f aca="false">IF(V$5&lt;=假设!$D$25,(假设!$D$16+假设!$D$17)/假设!$D$25,0)</f>
        <v>0</v>
      </c>
      <c r="W26" s="11" t="n">
        <f aca="false">IF(W$5&lt;=假设!$D$25,(假设!$D$16+假设!$D$17)/假设!$D$25,0)</f>
        <v>0</v>
      </c>
      <c r="X26" s="11" t="n">
        <f aca="false">IF(X$5&lt;=假设!$D$25,(假设!$D$16+假设!$D$17)/假设!$D$25,0)</f>
        <v>0</v>
      </c>
      <c r="Y26" s="11" t="n">
        <f aca="false">IF(Y$5&lt;=假设!$D$25,(假设!$D$16+假设!$D$17)/假设!$D$25,0)</f>
        <v>0</v>
      </c>
      <c r="Z26" s="11" t="n">
        <f aca="false">IF(Z$5&lt;=假设!$D$25,(假设!$D$16+假设!$D$17)/假设!$D$25,0)</f>
        <v>0</v>
      </c>
      <c r="AA26" s="11" t="n">
        <f aca="false">IF(AA$5&lt;=假设!$D$25,(假设!$D$16+假设!$D$17)/假设!$D$25,0)</f>
        <v>0</v>
      </c>
      <c r="AB26" s="11" t="n">
        <f aca="false">IF(AB$5&lt;=假设!$D$25,(假设!$D$16+假设!$D$17)/假设!$D$25,0)</f>
        <v>0</v>
      </c>
      <c r="AC26" s="11" t="n">
        <f aca="false">IF(AC$5&lt;=假设!$D$25,(假设!$D$16+假设!$D$17)/假设!$D$25,0)</f>
        <v>0</v>
      </c>
      <c r="AD26" s="11" t="n">
        <f aca="false">IF(AD$5&lt;=假设!$D$25,(假设!$D$16+假设!$D$17)/假设!$D$25,0)</f>
        <v>0</v>
      </c>
      <c r="AE26" s="11" t="n">
        <f aca="false">IF(AE$5&lt;=假设!$D$25,(假设!$D$16+假设!$D$17)/假设!$D$25,0)</f>
        <v>0</v>
      </c>
      <c r="AF26" s="11" t="n">
        <f aca="false">IF(AF$5&lt;=假设!$D$25,(假设!$D$16+假设!$D$17)/假设!$D$25,0)</f>
        <v>0</v>
      </c>
      <c r="AG26" s="11" t="n">
        <f aca="false">IF(AG$5&lt;=假设!$D$25,(假设!$D$16+假设!$D$17)/假设!$D$25,0)</f>
        <v>0</v>
      </c>
      <c r="AH26" s="11" t="n">
        <f aca="false">IF(AH$5&lt;=假设!$D$25,(假设!$D$16+假设!$D$17)/假设!$D$25,0)</f>
        <v>0</v>
      </c>
      <c r="AI26" s="11" t="n">
        <f aca="false">IF(AI$5&lt;=假设!$D$25,(假设!$D$16+假设!$D$17)/假设!$D$25,0)</f>
        <v>0</v>
      </c>
      <c r="AJ26" s="11" t="n">
        <f aca="false">IF(AJ$5&lt;=假设!$D$25,(假设!$D$16+假设!$D$17)/假设!$D$25,0)</f>
        <v>0</v>
      </c>
      <c r="AK26" s="11" t="n">
        <f aca="false">IF(AK$5&lt;=假设!$D$25,(假设!$D$16+假设!$D$17)/假设!$D$25,0)</f>
        <v>0</v>
      </c>
      <c r="AL26" s="11" t="n">
        <f aca="false">IF(AL$5&lt;=假设!$D$25,(假设!$D$16+假设!$D$17)/假设!$D$25,0)</f>
        <v>0</v>
      </c>
      <c r="AM26" s="11" t="n">
        <f aca="false">IF(AM$5&lt;=假设!$D$25,(假设!$D$16+假设!$D$17)/假设!$D$25,0)</f>
        <v>0</v>
      </c>
      <c r="AN26" s="3"/>
    </row>
    <row r="27" customFormat="false" ht="24" hidden="false" customHeight="true" outlineLevel="0" collapsed="false">
      <c r="A27" s="1"/>
      <c r="B27" s="1"/>
      <c r="C27" s="8" t="s">
        <v>182</v>
      </c>
      <c r="D27" s="11" t="n">
        <f aca="false">IF(D$5=假设!$D$25+1,假设!$D$19,0)</f>
        <v>0</v>
      </c>
      <c r="E27" s="11" t="n">
        <f aca="false">IF(E$5=假设!$D$25+1,假设!$D$19,0)</f>
        <v>0</v>
      </c>
      <c r="F27" s="11" t="n">
        <f aca="false">IF(F$5=假设!$D$25+1,假设!$D$19,0)</f>
        <v>0</v>
      </c>
      <c r="G27" s="11" t="n">
        <f aca="false">IF(G$5=假设!$D$25+1,假设!$D$19,0)</f>
        <v>0</v>
      </c>
      <c r="H27" s="11" t="n">
        <f aca="false">IF(H$5=假设!$D$25+1,假设!$D$19,0)</f>
        <v>50000</v>
      </c>
      <c r="I27" s="11" t="n">
        <f aca="false">IF(I$5=假设!$D$25+1,假设!$D$19,0)</f>
        <v>0</v>
      </c>
      <c r="J27" s="11" t="n">
        <f aca="false">IF(J$5=假设!$D$25+1,假设!$D$19,0)</f>
        <v>0</v>
      </c>
      <c r="K27" s="11" t="n">
        <f aca="false">IF(K$5=假设!$D$25+1,假设!$D$19,0)</f>
        <v>0</v>
      </c>
      <c r="L27" s="11" t="n">
        <f aca="false">IF(L$5=假设!$D$25+1,假设!$D$19,0)</f>
        <v>0</v>
      </c>
      <c r="M27" s="11" t="n">
        <f aca="false">IF(M$5=假设!$D$25+1,假设!$D$19,0)</f>
        <v>0</v>
      </c>
      <c r="N27" s="11" t="n">
        <f aca="false">IF(N$5=假设!$D$25+1,假设!$D$19,0)</f>
        <v>0</v>
      </c>
      <c r="O27" s="11" t="n">
        <f aca="false">IF(O$5=假设!$D$25+1,假设!$D$19,0)</f>
        <v>0</v>
      </c>
      <c r="P27" s="11" t="n">
        <f aca="false">IF(P$5=假设!$D$25+1,假设!$D$19,0)</f>
        <v>0</v>
      </c>
      <c r="Q27" s="11" t="n">
        <f aca="false">IF(Q$5=假设!$D$25+1,假设!$D$19,0)</f>
        <v>0</v>
      </c>
      <c r="R27" s="11" t="n">
        <f aca="false">IF(R$5=假设!$D$25+1,假设!$D$19,0)</f>
        <v>0</v>
      </c>
      <c r="S27" s="11" t="n">
        <f aca="false">IF(S$5=假设!$D$25+1,假设!$D$19,0)</f>
        <v>0</v>
      </c>
      <c r="T27" s="11" t="n">
        <f aca="false">IF(T$5=假设!$D$25+1,假设!$D$19,0)</f>
        <v>0</v>
      </c>
      <c r="U27" s="11" t="n">
        <f aca="false">IF(U$5=假设!$D$25+1,假设!$D$19,0)</f>
        <v>0</v>
      </c>
      <c r="V27" s="11" t="n">
        <f aca="false">IF(V$5=假设!$D$25+1,假设!$D$19,0)</f>
        <v>0</v>
      </c>
      <c r="W27" s="11" t="n">
        <f aca="false">IF(W$5=假设!$D$25+1,假设!$D$19,0)</f>
        <v>0</v>
      </c>
      <c r="X27" s="11" t="n">
        <f aca="false">IF(X$5=假设!$D$25+1,假设!$D$19,0)</f>
        <v>0</v>
      </c>
      <c r="Y27" s="11" t="n">
        <f aca="false">IF(Y$5=假设!$D$25+1,假设!$D$19,0)</f>
        <v>0</v>
      </c>
      <c r="Z27" s="11" t="n">
        <f aca="false">IF(Z$5=假设!$D$25+1,假设!$D$19,0)</f>
        <v>0</v>
      </c>
      <c r="AA27" s="11" t="n">
        <f aca="false">IF(AA$5=假设!$D$25+1,假设!$D$19,0)</f>
        <v>0</v>
      </c>
      <c r="AB27" s="11" t="n">
        <f aca="false">IF(AB$5=假设!$D$25+1,假设!$D$19,0)</f>
        <v>0</v>
      </c>
      <c r="AC27" s="11" t="n">
        <f aca="false">IF(AC$5=假设!$D$25+1,假设!$D$19,0)</f>
        <v>0</v>
      </c>
      <c r="AD27" s="11" t="n">
        <f aca="false">IF(AD$5=假设!$D$25+1,假设!$D$19,0)</f>
        <v>0</v>
      </c>
      <c r="AE27" s="11" t="n">
        <f aca="false">IF(AE$5=假设!$D$25+1,假设!$D$19,0)</f>
        <v>0</v>
      </c>
      <c r="AF27" s="11" t="n">
        <f aca="false">IF(AF$5=假设!$D$25+1,假设!$D$19,0)</f>
        <v>0</v>
      </c>
      <c r="AG27" s="11" t="n">
        <f aca="false">IF(AG$5=假设!$D$25+1,假设!$D$19,0)</f>
        <v>0</v>
      </c>
      <c r="AH27" s="11" t="n">
        <f aca="false">IF(AH$5=假设!$D$25+1,假设!$D$19,0)</f>
        <v>0</v>
      </c>
      <c r="AI27" s="11" t="n">
        <f aca="false">IF(AI$5=假设!$D$25+1,假设!$D$19,0)</f>
        <v>0</v>
      </c>
      <c r="AJ27" s="11" t="n">
        <f aca="false">IF(AJ$5=假设!$D$25+1,假设!$D$19,0)</f>
        <v>0</v>
      </c>
      <c r="AK27" s="11" t="n">
        <f aca="false">IF(AK$5=假设!$D$25+1,假设!$D$19,0)</f>
        <v>0</v>
      </c>
      <c r="AL27" s="11" t="n">
        <f aca="false">IF(AL$5=假设!$D$25+1,假设!$D$19,0)</f>
        <v>0</v>
      </c>
      <c r="AM27" s="11" t="n">
        <f aca="false">IF(AM$5=假设!$D$25+1,假设!$D$19,0)</f>
        <v>0</v>
      </c>
      <c r="AN27" s="3"/>
    </row>
    <row r="28" customFormat="false" ht="24" hidden="false" customHeight="true" outlineLevel="0" collapsed="false">
      <c r="A28" s="1"/>
      <c r="B28" s="1"/>
      <c r="C28" s="25" t="s">
        <v>183</v>
      </c>
      <c r="D28" s="27" t="n">
        <f aca="false">D24-D26-D27-D14+D33</f>
        <v>-59437.5</v>
      </c>
      <c r="E28" s="27" t="n">
        <f aca="false">E24-E26-E27-E14+E33</f>
        <v>-59437.5</v>
      </c>
      <c r="F28" s="27" t="n">
        <f aca="false">F24-F26-F27-F14+F33</f>
        <v>-59437.5</v>
      </c>
      <c r="G28" s="27" t="n">
        <f aca="false">G24-G26-G27-G14+G33</f>
        <v>-59437.5</v>
      </c>
      <c r="H28" s="27" t="n">
        <f aca="false">H24-H26-H27-H14+H33</f>
        <v>-61000</v>
      </c>
      <c r="I28" s="27" t="n">
        <f aca="false">I24-I26-I27-I14+I33</f>
        <v>-11300</v>
      </c>
      <c r="J28" s="27" t="n">
        <f aca="false">J24-J26-J27-J14+J33</f>
        <v>-8450</v>
      </c>
      <c r="K28" s="27" t="n">
        <f aca="false">K24-K26-K27-K14+K33</f>
        <v>-5600</v>
      </c>
      <c r="L28" s="27" t="n">
        <f aca="false">L24-L26-L27-L14+L33</f>
        <v>-2750</v>
      </c>
      <c r="M28" s="27" t="n">
        <f aca="false">M24-M26-M27-M14+M33</f>
        <v>100</v>
      </c>
      <c r="N28" s="27" t="n">
        <f aca="false">N24-N26-N27-N14+N33</f>
        <v>2950</v>
      </c>
      <c r="O28" s="27" t="n">
        <f aca="false">O24-O26-O27-O14+O33</f>
        <v>5800</v>
      </c>
      <c r="P28" s="27" t="n">
        <f aca="false">P24-P26-P27-P14+P33</f>
        <v>8650</v>
      </c>
      <c r="Q28" s="27" t="n">
        <f aca="false">Q24-Q26-Q27-Q14+Q33</f>
        <v>11500</v>
      </c>
      <c r="R28" s="27" t="n">
        <f aca="false">R24-R26-R27-R14+R33</f>
        <v>14350</v>
      </c>
      <c r="S28" s="27" t="n">
        <f aca="false">S24-S26-S27-S14+S33</f>
        <v>17200</v>
      </c>
      <c r="T28" s="27" t="n">
        <f aca="false">T24-T26-T27-T14+T33</f>
        <v>20050</v>
      </c>
      <c r="U28" s="27" t="n">
        <f aca="false">U24-U26-U27-U14+U33</f>
        <v>22900</v>
      </c>
      <c r="V28" s="27" t="n">
        <f aca="false">V24-V26-V27-V14+V33</f>
        <v>25750</v>
      </c>
      <c r="W28" s="27" t="n">
        <f aca="false">W24-W26-W27-W14+W33</f>
        <v>28600</v>
      </c>
      <c r="X28" s="27" t="n">
        <f aca="false">X24-X26-X27-X14+X33</f>
        <v>31450</v>
      </c>
      <c r="Y28" s="27" t="n">
        <f aca="false">Y24-Y26-Y27-Y14+Y33</f>
        <v>34300</v>
      </c>
      <c r="Z28" s="27" t="n">
        <f aca="false">Z24-Z26-Z27-Z14+Z33</f>
        <v>37150</v>
      </c>
      <c r="AA28" s="27" t="n">
        <f aca="false">AA24-AA26-AA27-AA14+AA33</f>
        <v>40000</v>
      </c>
      <c r="AB28" s="27" t="n">
        <f aca="false">AB24-AB26-AB27-AB14+AB33</f>
        <v>42850</v>
      </c>
      <c r="AC28" s="27" t="n">
        <f aca="false">AC24-AC26-AC27-AC14+AC33</f>
        <v>45700</v>
      </c>
      <c r="AD28" s="27" t="n">
        <f aca="false">AD24-AD26-AD27-AD14+AD33</f>
        <v>48550</v>
      </c>
      <c r="AE28" s="27" t="n">
        <f aca="false">AE24-AE26-AE27-AE14+AE33</f>
        <v>51400</v>
      </c>
      <c r="AF28" s="27" t="n">
        <f aca="false">AF24-AF26-AF27-AF14+AF33</f>
        <v>54250</v>
      </c>
      <c r="AG28" s="27" t="n">
        <f aca="false">AG24-AG26-AG27-AG14+AG33</f>
        <v>54250</v>
      </c>
      <c r="AH28" s="27" t="n">
        <f aca="false">AH24-AH26-AH27-AH14+AH33</f>
        <v>54250</v>
      </c>
      <c r="AI28" s="27" t="n">
        <f aca="false">AI24-AI26-AI27-AI14+AI33</f>
        <v>54250</v>
      </c>
      <c r="AJ28" s="27" t="n">
        <f aca="false">AJ24-AJ26-AJ27-AJ14+AJ33</f>
        <v>54250</v>
      </c>
      <c r="AK28" s="27" t="n">
        <f aca="false">AK24-AK26-AK27-AK14+AK33</f>
        <v>54250</v>
      </c>
      <c r="AL28" s="27" t="n">
        <f aca="false">AL24-AL26-AL27-AL14+AL33</f>
        <v>54250</v>
      </c>
      <c r="AM28" s="27" t="n">
        <f aca="false">AM24-AM26-AM27-AM14+AM33</f>
        <v>54250</v>
      </c>
      <c r="AN28" s="3"/>
    </row>
    <row r="29" customFormat="false" ht="24" hidden="false" customHeight="true" outlineLevel="0" collapsed="false">
      <c r="A29" s="1"/>
      <c r="B29" s="1"/>
      <c r="C29" s="25" t="s">
        <v>184</v>
      </c>
      <c r="D29" s="27" t="n">
        <f aca="false">D28</f>
        <v>-59437.5</v>
      </c>
      <c r="E29" s="27" t="n">
        <f aca="false">D29+E28</f>
        <v>-118875</v>
      </c>
      <c r="F29" s="27" t="n">
        <f aca="false">E29+F28</f>
        <v>-178312.5</v>
      </c>
      <c r="G29" s="27" t="n">
        <f aca="false">F29+G28</f>
        <v>-237750</v>
      </c>
      <c r="H29" s="27" t="n">
        <f aca="false">G29+H28</f>
        <v>-298750</v>
      </c>
      <c r="I29" s="27" t="n">
        <f aca="false">H29+I28</f>
        <v>-310050</v>
      </c>
      <c r="J29" s="27" t="n">
        <f aca="false">I29+J28</f>
        <v>-318500</v>
      </c>
      <c r="K29" s="27" t="n">
        <f aca="false">J29+K28</f>
        <v>-324100</v>
      </c>
      <c r="L29" s="27" t="n">
        <f aca="false">K29+L28</f>
        <v>-326850</v>
      </c>
      <c r="M29" s="27" t="n">
        <f aca="false">L29+M28</f>
        <v>-326750</v>
      </c>
      <c r="N29" s="27" t="n">
        <f aca="false">M29+N28</f>
        <v>-323800</v>
      </c>
      <c r="O29" s="27" t="n">
        <f aca="false">N29+O28</f>
        <v>-318000</v>
      </c>
      <c r="P29" s="27" t="n">
        <f aca="false">O29+P28</f>
        <v>-309350</v>
      </c>
      <c r="Q29" s="27" t="n">
        <f aca="false">P29+Q28</f>
        <v>-297850</v>
      </c>
      <c r="R29" s="27" t="n">
        <f aca="false">Q29+R28</f>
        <v>-283500</v>
      </c>
      <c r="S29" s="27" t="n">
        <f aca="false">R29+S28</f>
        <v>-266300</v>
      </c>
      <c r="T29" s="27" t="n">
        <f aca="false">S29+T28</f>
        <v>-246250</v>
      </c>
      <c r="U29" s="27" t="n">
        <f aca="false">T29+U28</f>
        <v>-223350</v>
      </c>
      <c r="V29" s="27" t="n">
        <f aca="false">U29+V28</f>
        <v>-197600</v>
      </c>
      <c r="W29" s="27" t="n">
        <f aca="false">V29+W28</f>
        <v>-169000</v>
      </c>
      <c r="X29" s="27" t="n">
        <f aca="false">W29+X28</f>
        <v>-137550</v>
      </c>
      <c r="Y29" s="27" t="n">
        <f aca="false">X29+Y28</f>
        <v>-103250</v>
      </c>
      <c r="Z29" s="27" t="n">
        <f aca="false">Y29+Z28</f>
        <v>-66100</v>
      </c>
      <c r="AA29" s="27" t="n">
        <f aca="false">Z29+AA28</f>
        <v>-26100</v>
      </c>
      <c r="AB29" s="27" t="n">
        <f aca="false">AA29+AB28</f>
        <v>16750</v>
      </c>
      <c r="AC29" s="27" t="n">
        <f aca="false">AB29+AC28</f>
        <v>62450</v>
      </c>
      <c r="AD29" s="27" t="n">
        <f aca="false">AC29+AD28</f>
        <v>111000</v>
      </c>
      <c r="AE29" s="27" t="n">
        <f aca="false">AD29+AE28</f>
        <v>162400</v>
      </c>
      <c r="AF29" s="27" t="n">
        <f aca="false">AE29+AF28</f>
        <v>216650</v>
      </c>
      <c r="AG29" s="27" t="n">
        <f aca="false">AF29+AG28</f>
        <v>270900</v>
      </c>
      <c r="AH29" s="27" t="n">
        <f aca="false">AG29+AH28</f>
        <v>325150</v>
      </c>
      <c r="AI29" s="27" t="n">
        <f aca="false">AH29+AI28</f>
        <v>379400</v>
      </c>
      <c r="AJ29" s="27" t="n">
        <f aca="false">AI29+AJ28</f>
        <v>433650</v>
      </c>
      <c r="AK29" s="27" t="n">
        <f aca="false">AJ29+AK28</f>
        <v>487900</v>
      </c>
      <c r="AL29" s="27" t="n">
        <f aca="false">AK29+AL28</f>
        <v>542150</v>
      </c>
      <c r="AM29" s="27" t="n">
        <f aca="false">AL29+AM28</f>
        <v>596400</v>
      </c>
      <c r="AN29" s="3"/>
    </row>
    <row r="30" customFormat="false" ht="24" hidden="false" customHeight="true" outlineLevel="0" collapsed="false">
      <c r="A30" s="1"/>
      <c r="B30" s="1"/>
      <c r="C30" s="8" t="s">
        <v>185</v>
      </c>
      <c r="D30" s="11" t="n">
        <f aca="false">假设!$D$23+D29</f>
        <v>-59437.5</v>
      </c>
      <c r="E30" s="11" t="n">
        <f aca="false">假设!$D$23+E29</f>
        <v>-118875</v>
      </c>
      <c r="F30" s="11" t="n">
        <f aca="false">假设!$D$23+F29</f>
        <v>-178312.5</v>
      </c>
      <c r="G30" s="11" t="n">
        <f aca="false">假设!$D$23+G29</f>
        <v>-237750</v>
      </c>
      <c r="H30" s="11" t="n">
        <f aca="false">假设!$D$23+H29</f>
        <v>-298750</v>
      </c>
      <c r="I30" s="11" t="n">
        <f aca="false">假设!$D$23+I29</f>
        <v>-310050</v>
      </c>
      <c r="J30" s="11" t="n">
        <f aca="false">假设!$D$23+J29</f>
        <v>-318500</v>
      </c>
      <c r="K30" s="11" t="n">
        <f aca="false">假设!$D$23+K29</f>
        <v>-324100</v>
      </c>
      <c r="L30" s="11" t="n">
        <f aca="false">假设!$D$23+L29</f>
        <v>-326850</v>
      </c>
      <c r="M30" s="11" t="n">
        <f aca="false">假设!$D$23+M29</f>
        <v>-326750</v>
      </c>
      <c r="N30" s="11" t="n">
        <f aca="false">假设!$D$23+N29</f>
        <v>-323800</v>
      </c>
      <c r="O30" s="11" t="n">
        <f aca="false">假设!$D$23+O29</f>
        <v>-318000</v>
      </c>
      <c r="P30" s="11" t="n">
        <f aca="false">假设!$D$23+P29</f>
        <v>-309350</v>
      </c>
      <c r="Q30" s="11" t="n">
        <f aca="false">假设!$D$23+Q29</f>
        <v>-297850</v>
      </c>
      <c r="R30" s="11" t="n">
        <f aca="false">假设!$D$23+R29</f>
        <v>-283500</v>
      </c>
      <c r="S30" s="11" t="n">
        <f aca="false">假设!$D$23+S29</f>
        <v>-266300</v>
      </c>
      <c r="T30" s="11" t="n">
        <f aca="false">假设!$D$23+T29</f>
        <v>-246250</v>
      </c>
      <c r="U30" s="11" t="n">
        <f aca="false">假设!$D$23+U29</f>
        <v>-223350</v>
      </c>
      <c r="V30" s="11" t="n">
        <f aca="false">假设!$D$23+V29</f>
        <v>-197600</v>
      </c>
      <c r="W30" s="11" t="n">
        <f aca="false">假设!$D$23+W29</f>
        <v>-169000</v>
      </c>
      <c r="X30" s="11" t="n">
        <f aca="false">假设!$D$23+X29</f>
        <v>-137550</v>
      </c>
      <c r="Y30" s="11" t="n">
        <f aca="false">假设!$D$23+Y29</f>
        <v>-103250</v>
      </c>
      <c r="Z30" s="11" t="n">
        <f aca="false">假设!$D$23+Z29</f>
        <v>-66100</v>
      </c>
      <c r="AA30" s="11" t="n">
        <f aca="false">假设!$D$23+AA29</f>
        <v>-26100</v>
      </c>
      <c r="AB30" s="11" t="n">
        <f aca="false">假设!$D$23+AB29</f>
        <v>16750</v>
      </c>
      <c r="AC30" s="11" t="n">
        <f aca="false">假设!$D$23+AC29</f>
        <v>62450</v>
      </c>
      <c r="AD30" s="11" t="n">
        <f aca="false">假设!$D$23+AD29</f>
        <v>111000</v>
      </c>
      <c r="AE30" s="11" t="n">
        <f aca="false">假设!$D$23+AE29</f>
        <v>162400</v>
      </c>
      <c r="AF30" s="11" t="n">
        <f aca="false">假设!$D$23+AF29</f>
        <v>216650</v>
      </c>
      <c r="AG30" s="11" t="n">
        <f aca="false">假设!$D$23+AG29</f>
        <v>270900</v>
      </c>
      <c r="AH30" s="11" t="n">
        <f aca="false">假设!$D$23+AH29</f>
        <v>325150</v>
      </c>
      <c r="AI30" s="11" t="n">
        <f aca="false">假设!$D$23+AI29</f>
        <v>379400</v>
      </c>
      <c r="AJ30" s="11" t="n">
        <f aca="false">假设!$D$23+AJ29</f>
        <v>433650</v>
      </c>
      <c r="AK30" s="11" t="n">
        <f aca="false">假设!$D$23+AK29</f>
        <v>487900</v>
      </c>
      <c r="AL30" s="11" t="n">
        <f aca="false">假设!$D$23+AL29</f>
        <v>542150</v>
      </c>
      <c r="AM30" s="11" t="n">
        <f aca="false">假设!$D$23+AM29</f>
        <v>596400</v>
      </c>
      <c r="AN30" s="3"/>
    </row>
    <row r="31" customFormat="false" ht="24" hidden="false" customHeight="true" outlineLevel="0" collapsed="false">
      <c r="A31" s="1"/>
      <c r="B31" s="1"/>
      <c r="C31" s="8" t="s">
        <v>186</v>
      </c>
      <c r="D31" s="11" t="n">
        <f aca="false">IF(AND(D$5&gt;假设!$D$25,D29&gt;=0),D$5,999)</f>
        <v>999</v>
      </c>
      <c r="E31" s="11" t="n">
        <f aca="false">IF(AND(E$5&gt;假设!$D$25,E29&gt;=0),E$5,999)</f>
        <v>999</v>
      </c>
      <c r="F31" s="11" t="n">
        <f aca="false">IF(AND(F$5&gt;假设!$D$25,F29&gt;=0),F$5,999)</f>
        <v>999</v>
      </c>
      <c r="G31" s="11" t="n">
        <f aca="false">IF(AND(G$5&gt;假设!$D$25,G29&gt;=0),G$5,999)</f>
        <v>999</v>
      </c>
      <c r="H31" s="11" t="n">
        <f aca="false">IF(AND(H$5&gt;假设!$D$25,H29&gt;=0),H$5,999)</f>
        <v>999</v>
      </c>
      <c r="I31" s="11" t="n">
        <f aca="false">IF(AND(I$5&gt;假设!$D$25,I29&gt;=0),I$5,999)</f>
        <v>999</v>
      </c>
      <c r="J31" s="11" t="n">
        <f aca="false">IF(AND(J$5&gt;假设!$D$25,J29&gt;=0),J$5,999)</f>
        <v>999</v>
      </c>
      <c r="K31" s="11" t="n">
        <f aca="false">IF(AND(K$5&gt;假设!$D$25,K29&gt;=0),K$5,999)</f>
        <v>999</v>
      </c>
      <c r="L31" s="11" t="n">
        <f aca="false">IF(AND(L$5&gt;假设!$D$25,L29&gt;=0),L$5,999)</f>
        <v>999</v>
      </c>
      <c r="M31" s="11" t="n">
        <f aca="false">IF(AND(M$5&gt;假设!$D$25,M29&gt;=0),M$5,999)</f>
        <v>999</v>
      </c>
      <c r="N31" s="11" t="n">
        <f aca="false">IF(AND(N$5&gt;假设!$D$25,N29&gt;=0),N$5,999)</f>
        <v>999</v>
      </c>
      <c r="O31" s="11" t="n">
        <f aca="false">IF(AND(O$5&gt;假设!$D$25,O29&gt;=0),O$5,999)</f>
        <v>999</v>
      </c>
      <c r="P31" s="11" t="n">
        <f aca="false">IF(AND(P$5&gt;假设!$D$25,P29&gt;=0),P$5,999)</f>
        <v>999</v>
      </c>
      <c r="Q31" s="11" t="n">
        <f aca="false">IF(AND(Q$5&gt;假设!$D$25,Q29&gt;=0),Q$5,999)</f>
        <v>999</v>
      </c>
      <c r="R31" s="11" t="n">
        <f aca="false">IF(AND(R$5&gt;假设!$D$25,R29&gt;=0),R$5,999)</f>
        <v>999</v>
      </c>
      <c r="S31" s="11" t="n">
        <f aca="false">IF(AND(S$5&gt;假设!$D$25,S29&gt;=0),S$5,999)</f>
        <v>999</v>
      </c>
      <c r="T31" s="11" t="n">
        <f aca="false">IF(AND(T$5&gt;假设!$D$25,T29&gt;=0),T$5,999)</f>
        <v>999</v>
      </c>
      <c r="U31" s="11" t="n">
        <f aca="false">IF(AND(U$5&gt;假设!$D$25,U29&gt;=0),U$5,999)</f>
        <v>999</v>
      </c>
      <c r="V31" s="11" t="n">
        <f aca="false">IF(AND(V$5&gt;假设!$D$25,V29&gt;=0),V$5,999)</f>
        <v>999</v>
      </c>
      <c r="W31" s="11" t="n">
        <f aca="false">IF(AND(W$5&gt;假设!$D$25,W29&gt;=0),W$5,999)</f>
        <v>999</v>
      </c>
      <c r="X31" s="11" t="n">
        <f aca="false">IF(AND(X$5&gt;假设!$D$25,X29&gt;=0),X$5,999)</f>
        <v>999</v>
      </c>
      <c r="Y31" s="11" t="n">
        <f aca="false">IF(AND(Y$5&gt;假设!$D$25,Y29&gt;=0),Y$5,999)</f>
        <v>999</v>
      </c>
      <c r="Z31" s="11" t="n">
        <f aca="false">IF(AND(Z$5&gt;假设!$D$25,Z29&gt;=0),Z$5,999)</f>
        <v>999</v>
      </c>
      <c r="AA31" s="11" t="n">
        <f aca="false">IF(AND(AA$5&gt;假设!$D$25,AA29&gt;=0),AA$5,999)</f>
        <v>999</v>
      </c>
      <c r="AB31" s="11" t="n">
        <f aca="false">IF(AND(AB$5&gt;假设!$D$25,AB29&gt;=0),AB$5,999)</f>
        <v>25</v>
      </c>
      <c r="AC31" s="11" t="n">
        <f aca="false">IF(AND(AC$5&gt;假设!$D$25,AC29&gt;=0),AC$5,999)</f>
        <v>26</v>
      </c>
      <c r="AD31" s="11" t="n">
        <f aca="false">IF(AND(AD$5&gt;假设!$D$25,AD29&gt;=0),AD$5,999)</f>
        <v>27</v>
      </c>
      <c r="AE31" s="11" t="n">
        <f aca="false">IF(AND(AE$5&gt;假设!$D$25,AE29&gt;=0),AE$5,999)</f>
        <v>28</v>
      </c>
      <c r="AF31" s="11" t="n">
        <f aca="false">IF(AND(AF$5&gt;假设!$D$25,AF29&gt;=0),AF$5,999)</f>
        <v>29</v>
      </c>
      <c r="AG31" s="11" t="n">
        <f aca="false">IF(AND(AG$5&gt;假设!$D$25,AG29&gt;=0),AG$5,999)</f>
        <v>30</v>
      </c>
      <c r="AH31" s="11" t="n">
        <f aca="false">IF(AND(AH$5&gt;假设!$D$25,AH29&gt;=0),AH$5,999)</f>
        <v>31</v>
      </c>
      <c r="AI31" s="11" t="n">
        <f aca="false">IF(AND(AI$5&gt;假设!$D$25,AI29&gt;=0),AI$5,999)</f>
        <v>32</v>
      </c>
      <c r="AJ31" s="11" t="n">
        <f aca="false">IF(AND(AJ$5&gt;假设!$D$25,AJ29&gt;=0),AJ$5,999)</f>
        <v>33</v>
      </c>
      <c r="AK31" s="11" t="n">
        <f aca="false">IF(AND(AK$5&gt;假设!$D$25,AK29&gt;=0),AK$5,999)</f>
        <v>34</v>
      </c>
      <c r="AL31" s="11" t="n">
        <f aca="false">IF(AND(AL$5&gt;假设!$D$25,AL29&gt;=0),AL$5,999)</f>
        <v>35</v>
      </c>
      <c r="AM31" s="11" t="n">
        <f aca="false">IF(AND(AM$5&gt;假设!$D$25,AM29&gt;=0),AM$5,999)</f>
        <v>36</v>
      </c>
      <c r="AN31" s="3"/>
    </row>
    <row r="32" customFormat="false" ht="24" hidden="false" customHeight="true" outlineLevel="0" collapsed="false">
      <c r="A32" s="1"/>
      <c r="B32" s="1"/>
      <c r="C32" s="8" t="s">
        <v>187</v>
      </c>
      <c r="D32" s="11" t="n">
        <f aca="false">IF(AND(D$5&gt;假设!$D$25,D24&gt;=0),D$5,999)</f>
        <v>999</v>
      </c>
      <c r="E32" s="11" t="n">
        <f aca="false">IF(AND(E$5&gt;假设!$D$25,E24&gt;=0),E$5,999)</f>
        <v>999</v>
      </c>
      <c r="F32" s="11" t="n">
        <f aca="false">IF(AND(F$5&gt;假设!$D$25,F24&gt;=0),F$5,999)</f>
        <v>999</v>
      </c>
      <c r="G32" s="11" t="n">
        <f aca="false">IF(AND(G$5&gt;假设!$D$25,G24&gt;=0),G$5,999)</f>
        <v>999</v>
      </c>
      <c r="H32" s="11" t="n">
        <f aca="false">IF(AND(H$5&gt;假设!$D$25,H24&gt;=0),H$5,999)</f>
        <v>999</v>
      </c>
      <c r="I32" s="11" t="n">
        <f aca="false">IF(AND(I$5&gt;假设!$D$25,I24&gt;=0),I$5,999)</f>
        <v>999</v>
      </c>
      <c r="J32" s="11" t="n">
        <f aca="false">IF(AND(J$5&gt;假设!$D$25,J24&gt;=0),J$5,999)</f>
        <v>999</v>
      </c>
      <c r="K32" s="11" t="n">
        <f aca="false">IF(AND(K$5&gt;假设!$D$25,K24&gt;=0),K$5,999)</f>
        <v>999</v>
      </c>
      <c r="L32" s="11" t="n">
        <f aca="false">IF(AND(L$5&gt;假设!$D$25,L24&gt;=0),L$5,999)</f>
        <v>999</v>
      </c>
      <c r="M32" s="11" t="n">
        <f aca="false">IF(AND(M$5&gt;假设!$D$25,M24&gt;=0),M$5,999)</f>
        <v>10</v>
      </c>
      <c r="N32" s="11" t="n">
        <f aca="false">IF(AND(N$5&gt;假设!$D$25,N24&gt;=0),N$5,999)</f>
        <v>11</v>
      </c>
      <c r="O32" s="11" t="n">
        <f aca="false">IF(AND(O$5&gt;假设!$D$25,O24&gt;=0),O$5,999)</f>
        <v>12</v>
      </c>
      <c r="P32" s="11" t="n">
        <f aca="false">IF(AND(P$5&gt;假设!$D$25,P24&gt;=0),P$5,999)</f>
        <v>13</v>
      </c>
      <c r="Q32" s="11" t="n">
        <f aca="false">IF(AND(Q$5&gt;假设!$D$25,Q24&gt;=0),Q$5,999)</f>
        <v>14</v>
      </c>
      <c r="R32" s="11" t="n">
        <f aca="false">IF(AND(R$5&gt;假设!$D$25,R24&gt;=0),R$5,999)</f>
        <v>15</v>
      </c>
      <c r="S32" s="11" t="n">
        <f aca="false">IF(AND(S$5&gt;假设!$D$25,S24&gt;=0),S$5,999)</f>
        <v>16</v>
      </c>
      <c r="T32" s="11" t="n">
        <f aca="false">IF(AND(T$5&gt;假设!$D$25,T24&gt;=0),T$5,999)</f>
        <v>17</v>
      </c>
      <c r="U32" s="11" t="n">
        <f aca="false">IF(AND(U$5&gt;假设!$D$25,U24&gt;=0),U$5,999)</f>
        <v>18</v>
      </c>
      <c r="V32" s="11" t="n">
        <f aca="false">IF(AND(V$5&gt;假设!$D$25,V24&gt;=0),V$5,999)</f>
        <v>19</v>
      </c>
      <c r="W32" s="11" t="n">
        <f aca="false">IF(AND(W$5&gt;假设!$D$25,W24&gt;=0),W$5,999)</f>
        <v>20</v>
      </c>
      <c r="X32" s="11" t="n">
        <f aca="false">IF(AND(X$5&gt;假设!$D$25,X24&gt;=0),X$5,999)</f>
        <v>21</v>
      </c>
      <c r="Y32" s="11" t="n">
        <f aca="false">IF(AND(Y$5&gt;假设!$D$25,Y24&gt;=0),Y$5,999)</f>
        <v>22</v>
      </c>
      <c r="Z32" s="11" t="n">
        <f aca="false">IF(AND(Z$5&gt;假设!$D$25,Z24&gt;=0),Z$5,999)</f>
        <v>23</v>
      </c>
      <c r="AA32" s="11" t="n">
        <f aca="false">IF(AND(AA$5&gt;假设!$D$25,AA24&gt;=0),AA$5,999)</f>
        <v>24</v>
      </c>
      <c r="AB32" s="11" t="n">
        <f aca="false">IF(AND(AB$5&gt;假设!$D$25,AB24&gt;=0),AB$5,999)</f>
        <v>25</v>
      </c>
      <c r="AC32" s="11" t="n">
        <f aca="false">IF(AND(AC$5&gt;假设!$D$25,AC24&gt;=0),AC$5,999)</f>
        <v>26</v>
      </c>
      <c r="AD32" s="11" t="n">
        <f aca="false">IF(AND(AD$5&gt;假设!$D$25,AD24&gt;=0),AD$5,999)</f>
        <v>27</v>
      </c>
      <c r="AE32" s="11" t="n">
        <f aca="false">IF(AND(AE$5&gt;假设!$D$25,AE24&gt;=0),AE$5,999)</f>
        <v>28</v>
      </c>
      <c r="AF32" s="11" t="n">
        <f aca="false">IF(AND(AF$5&gt;假设!$D$25,AF24&gt;=0),AF$5,999)</f>
        <v>29</v>
      </c>
      <c r="AG32" s="11" t="n">
        <f aca="false">IF(AND(AG$5&gt;假设!$D$25,AG24&gt;=0),AG$5,999)</f>
        <v>30</v>
      </c>
      <c r="AH32" s="11" t="n">
        <f aca="false">IF(AND(AH$5&gt;假设!$D$25,AH24&gt;=0),AH$5,999)</f>
        <v>31</v>
      </c>
      <c r="AI32" s="11" t="n">
        <f aca="false">IF(AND(AI$5&gt;假设!$D$25,AI24&gt;=0),AI$5,999)</f>
        <v>32</v>
      </c>
      <c r="AJ32" s="11" t="n">
        <f aca="false">IF(AND(AJ$5&gt;假设!$D$25,AJ24&gt;=0),AJ$5,999)</f>
        <v>33</v>
      </c>
      <c r="AK32" s="11" t="n">
        <f aca="false">IF(AND(AK$5&gt;假设!$D$25,AK24&gt;=0),AK$5,999)</f>
        <v>34</v>
      </c>
      <c r="AL32" s="11" t="n">
        <f aca="false">IF(AND(AL$5&gt;假设!$D$25,AL24&gt;=0),AL$5,999)</f>
        <v>35</v>
      </c>
      <c r="AM32" s="11" t="n">
        <f aca="false">IF(AND(AM$5&gt;假设!$D$25,AM24&gt;=0),AM$5,999)</f>
        <v>36</v>
      </c>
      <c r="AN32" s="3"/>
    </row>
    <row r="33" customFormat="false" ht="24" hidden="false" customHeight="true" outlineLevel="0" collapsed="false">
      <c r="A33" s="1"/>
      <c r="B33" s="1"/>
      <c r="C33" s="8" t="s">
        <v>188</v>
      </c>
      <c r="D33" s="11" t="n">
        <f aca="false">IF(假设!$D$52=0,D14,0)</f>
        <v>0</v>
      </c>
      <c r="E33" s="11" t="n">
        <f aca="false">IF(假设!$D$52=0,E14,D14)</f>
        <v>0</v>
      </c>
      <c r="F33" s="11" t="n">
        <f aca="false">IF(假设!$D$52=0,F14,E14)</f>
        <v>0</v>
      </c>
      <c r="G33" s="11" t="n">
        <f aca="false">IF(假设!$D$52=0,G14,F14)</f>
        <v>0</v>
      </c>
      <c r="H33" s="11" t="n">
        <f aca="false">IF(假设!$D$52=0,H14,G14)</f>
        <v>12000</v>
      </c>
      <c r="I33" s="11" t="n">
        <f aca="false">IF(假设!$D$52=0,I14,H14)</f>
        <v>18000</v>
      </c>
      <c r="J33" s="11" t="n">
        <f aca="false">IF(假设!$D$52=0,J14,I14)</f>
        <v>24000</v>
      </c>
      <c r="K33" s="11" t="n">
        <f aca="false">IF(假设!$D$52=0,K14,J14)</f>
        <v>30000</v>
      </c>
      <c r="L33" s="11" t="n">
        <f aca="false">IF(假设!$D$52=0,L14,K14)</f>
        <v>36000</v>
      </c>
      <c r="M33" s="11" t="n">
        <f aca="false">IF(假设!$D$52=0,M14,L14)</f>
        <v>42000</v>
      </c>
      <c r="N33" s="11" t="n">
        <f aca="false">IF(假设!$D$52=0,N14,M14)</f>
        <v>48000</v>
      </c>
      <c r="O33" s="11" t="n">
        <f aca="false">IF(假设!$D$52=0,O14,N14)</f>
        <v>54000</v>
      </c>
      <c r="P33" s="11" t="n">
        <f aca="false">IF(假设!$D$52=0,P14,O14)</f>
        <v>60000</v>
      </c>
      <c r="Q33" s="11" t="n">
        <f aca="false">IF(假设!$D$52=0,Q14,P14)</f>
        <v>66000</v>
      </c>
      <c r="R33" s="11" t="n">
        <f aca="false">IF(假设!$D$52=0,R14,Q14)</f>
        <v>72000</v>
      </c>
      <c r="S33" s="11" t="n">
        <f aca="false">IF(假设!$D$52=0,S14,R14)</f>
        <v>78000</v>
      </c>
      <c r="T33" s="11" t="n">
        <f aca="false">IF(假设!$D$52=0,T14,S14)</f>
        <v>84000</v>
      </c>
      <c r="U33" s="11" t="n">
        <f aca="false">IF(假设!$D$52=0,U14,T14)</f>
        <v>90000</v>
      </c>
      <c r="V33" s="11" t="n">
        <f aca="false">IF(假设!$D$52=0,V14,U14)</f>
        <v>96000</v>
      </c>
      <c r="W33" s="11" t="n">
        <f aca="false">IF(假设!$D$52=0,W14,V14)</f>
        <v>102000</v>
      </c>
      <c r="X33" s="11" t="n">
        <f aca="false">IF(假设!$D$52=0,X14,W14)</f>
        <v>108000</v>
      </c>
      <c r="Y33" s="11" t="n">
        <f aca="false">IF(假设!$D$52=0,Y14,X14)</f>
        <v>114000</v>
      </c>
      <c r="Z33" s="11" t="n">
        <f aca="false">IF(假设!$D$52=0,Z14,Y14)</f>
        <v>120000</v>
      </c>
      <c r="AA33" s="11" t="n">
        <f aca="false">IF(假设!$D$52=0,AA14,Z14)</f>
        <v>126000</v>
      </c>
      <c r="AB33" s="11" t="n">
        <f aca="false">IF(假设!$D$52=0,AB14,AA14)</f>
        <v>132000</v>
      </c>
      <c r="AC33" s="11" t="n">
        <f aca="false">IF(假设!$D$52=0,AC14,AB14)</f>
        <v>138000</v>
      </c>
      <c r="AD33" s="11" t="n">
        <f aca="false">IF(假设!$D$52=0,AD14,AC14)</f>
        <v>144000</v>
      </c>
      <c r="AE33" s="11" t="n">
        <f aca="false">IF(假设!$D$52=0,AE14,AD14)</f>
        <v>150000</v>
      </c>
      <c r="AF33" s="11" t="n">
        <f aca="false">IF(假设!$D$52=0,AF14,AE14)</f>
        <v>150000</v>
      </c>
      <c r="AG33" s="11" t="n">
        <f aca="false">IF(假设!$D$52=0,AG14,AF14)</f>
        <v>150000</v>
      </c>
      <c r="AH33" s="11" t="n">
        <f aca="false">IF(假设!$D$52=0,AH14,AG14)</f>
        <v>150000</v>
      </c>
      <c r="AI33" s="11" t="n">
        <f aca="false">IF(假设!$D$52=0,AI14,AH14)</f>
        <v>150000</v>
      </c>
      <c r="AJ33" s="11" t="n">
        <f aca="false">IF(假设!$D$52=0,AJ14,AI14)</f>
        <v>150000</v>
      </c>
      <c r="AK33" s="11" t="n">
        <f aca="false">IF(假设!$D$52=0,AK14,AJ14)</f>
        <v>150000</v>
      </c>
      <c r="AL33" s="11" t="n">
        <f aca="false">IF(假设!$D$52=0,AL14,AK14)</f>
        <v>150000</v>
      </c>
      <c r="AM33" s="11" t="n">
        <f aca="false">IF(假设!$D$52=0,AM14,AL14)</f>
        <v>150000</v>
      </c>
      <c r="AN33" s="3"/>
    </row>
    <row r="34" customFormat="false" ht="24" hidden="false" customHeight="true" outlineLevel="0" collapsed="false">
      <c r="A34" s="1"/>
      <c r="B34" s="1"/>
      <c r="C34" s="8" t="s">
        <v>189</v>
      </c>
      <c r="D34" s="2" t="n">
        <f aca="false">D14-D33</f>
        <v>0</v>
      </c>
      <c r="E34" s="2" t="n">
        <f aca="false">D34+E14-E33</f>
        <v>0</v>
      </c>
      <c r="F34" s="2" t="n">
        <f aca="false">E34+F14-F33</f>
        <v>0</v>
      </c>
      <c r="G34" s="2" t="n">
        <f aca="false">F34+G14-G33</f>
        <v>0</v>
      </c>
      <c r="H34" s="2" t="n">
        <f aca="false">G34+H14-H33</f>
        <v>0</v>
      </c>
      <c r="I34" s="2" t="n">
        <f aca="false">H34+I14-I33</f>
        <v>0</v>
      </c>
      <c r="J34" s="2" t="n">
        <f aca="false">I34+J14-J33</f>
        <v>0</v>
      </c>
      <c r="K34" s="2" t="n">
        <f aca="false">J34+K14-K33</f>
        <v>0</v>
      </c>
      <c r="L34" s="2" t="n">
        <f aca="false">K34+L14-L33</f>
        <v>0</v>
      </c>
      <c r="M34" s="2" t="n">
        <f aca="false">L34+M14-M33</f>
        <v>0</v>
      </c>
      <c r="N34" s="2" t="n">
        <f aca="false">M34+N14-N33</f>
        <v>0</v>
      </c>
      <c r="O34" s="2" t="n">
        <f aca="false">N34+O14-O33</f>
        <v>0</v>
      </c>
      <c r="P34" s="2" t="n">
        <f aca="false">O34+P14-P33</f>
        <v>0</v>
      </c>
      <c r="Q34" s="2" t="n">
        <f aca="false">P34+Q14-Q33</f>
        <v>0</v>
      </c>
      <c r="R34" s="2" t="n">
        <f aca="false">Q34+R14-R33</f>
        <v>0</v>
      </c>
      <c r="S34" s="2" t="n">
        <f aca="false">R34+S14-S33</f>
        <v>0</v>
      </c>
      <c r="T34" s="2" t="n">
        <f aca="false">S34+T14-T33</f>
        <v>0</v>
      </c>
      <c r="U34" s="2" t="n">
        <f aca="false">T34+U14-U33</f>
        <v>0</v>
      </c>
      <c r="V34" s="2" t="n">
        <f aca="false">U34+V14-V33</f>
        <v>0</v>
      </c>
      <c r="W34" s="2" t="n">
        <f aca="false">V34+W14-W33</f>
        <v>0</v>
      </c>
      <c r="X34" s="2" t="n">
        <f aca="false">W34+X14-X33</f>
        <v>0</v>
      </c>
      <c r="Y34" s="2" t="n">
        <f aca="false">X34+Y14-Y33</f>
        <v>0</v>
      </c>
      <c r="Z34" s="2" t="n">
        <f aca="false">Y34+Z14-Z33</f>
        <v>0</v>
      </c>
      <c r="AA34" s="2" t="n">
        <f aca="false">Z34+AA14-AA33</f>
        <v>0</v>
      </c>
      <c r="AB34" s="2" t="n">
        <f aca="false">AA34+AB14-AB33</f>
        <v>0</v>
      </c>
      <c r="AC34" s="2" t="n">
        <f aca="false">AB34+AC14-AC33</f>
        <v>0</v>
      </c>
      <c r="AD34" s="2" t="n">
        <f aca="false">AC34+AD14-AD33</f>
        <v>0</v>
      </c>
      <c r="AE34" s="2" t="n">
        <f aca="false">AD34+AE14-AE33</f>
        <v>0</v>
      </c>
      <c r="AF34" s="2" t="n">
        <f aca="false">AE34+AF14-AF33</f>
        <v>0</v>
      </c>
      <c r="AG34" s="2" t="n">
        <f aca="false">AF34+AG14-AG33</f>
        <v>0</v>
      </c>
      <c r="AH34" s="2" t="n">
        <f aca="false">AG34+AH14-AH33</f>
        <v>0</v>
      </c>
      <c r="AI34" s="2" t="n">
        <f aca="false">AH34+AI14-AI33</f>
        <v>0</v>
      </c>
      <c r="AJ34" s="2" t="n">
        <f aca="false">AI34+AJ14-AJ33</f>
        <v>0</v>
      </c>
      <c r="AK34" s="2" t="n">
        <f aca="false">AJ34+AK14-AK33</f>
        <v>0</v>
      </c>
      <c r="AL34" s="2" t="n">
        <f aca="false">AK34+AL14-AL33</f>
        <v>0</v>
      </c>
      <c r="AM34" s="2" t="n">
        <f aca="false">AL34+AM14-AM33</f>
        <v>0</v>
      </c>
      <c r="AN34" s="3"/>
    </row>
    <row r="35" customFormat="false" ht="24" hidden="false" customHeight="true" outlineLevel="0" collapsed="false">
      <c r="A35" s="1"/>
      <c r="B35" s="1"/>
      <c r="C35" s="21" t="s">
        <v>190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</row>
    <row r="36" customFormat="false" ht="24" hidden="false" customHeight="true" outlineLevel="0" collapsed="false">
      <c r="A36" s="1"/>
      <c r="B36" s="1"/>
      <c r="C36" s="5" t="s">
        <v>191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</row>
    <row r="37" customFormat="false" ht="24" hidden="false" customHeight="true" outlineLevel="0" collapsed="false">
      <c r="A37" s="1"/>
      <c r="B37" s="1"/>
      <c r="C37" s="5" t="s">
        <v>192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customFormat="false" ht="24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customFormat="false" ht="24" hidden="false" customHeight="true" outlineLevel="0" collapsed="false">
      <c r="A39" s="1"/>
      <c r="B39" s="1"/>
      <c r="C39" s="8" t="s">
        <v>193</v>
      </c>
      <c r="D39" s="20" t="n">
        <f aca="false">假设!$D$50</f>
        <v>0.03</v>
      </c>
      <c r="E39" s="20" t="n">
        <f aca="false">假设!$D$50</f>
        <v>0.03</v>
      </c>
      <c r="F39" s="20" t="n">
        <f aca="false">假设!$D$50</f>
        <v>0.03</v>
      </c>
      <c r="G39" s="20" t="n">
        <f aca="false">假设!$D$50</f>
        <v>0.03</v>
      </c>
      <c r="H39" s="20" t="n">
        <f aca="false">假设!$D$50</f>
        <v>0.03</v>
      </c>
      <c r="I39" s="20" t="n">
        <f aca="false">假设!$D$50</f>
        <v>0.03</v>
      </c>
      <c r="J39" s="20" t="n">
        <f aca="false">假设!$D$50</f>
        <v>0.03</v>
      </c>
      <c r="K39" s="20" t="n">
        <f aca="false">假设!$D$50</f>
        <v>0.03</v>
      </c>
      <c r="L39" s="20" t="n">
        <f aca="false">假设!$D$50</f>
        <v>0.03</v>
      </c>
      <c r="M39" s="20" t="n">
        <f aca="false">假设!$D$50</f>
        <v>0.03</v>
      </c>
      <c r="N39" s="20" t="n">
        <f aca="false">假设!$D$50</f>
        <v>0.03</v>
      </c>
      <c r="O39" s="20" t="n">
        <f aca="false">假设!$D$50</f>
        <v>0.03</v>
      </c>
      <c r="P39" s="20" t="n">
        <f aca="false">假设!$D$50</f>
        <v>0.03</v>
      </c>
      <c r="Q39" s="20" t="n">
        <f aca="false">假设!$D$50</f>
        <v>0.03</v>
      </c>
      <c r="R39" s="20" t="n">
        <f aca="false">假设!$D$50</f>
        <v>0.03</v>
      </c>
      <c r="S39" s="20" t="n">
        <f aca="false">假设!$D$50</f>
        <v>0.03</v>
      </c>
      <c r="T39" s="20" t="n">
        <f aca="false">假设!$D$50</f>
        <v>0.03</v>
      </c>
      <c r="U39" s="20" t="n">
        <f aca="false">假设!$D$50</f>
        <v>0.03</v>
      </c>
      <c r="V39" s="20" t="n">
        <f aca="false">假设!$D$50</f>
        <v>0.03</v>
      </c>
      <c r="W39" s="20" t="n">
        <f aca="false">假设!$D$50</f>
        <v>0.03</v>
      </c>
      <c r="X39" s="20" t="n">
        <f aca="false">假设!$D$50</f>
        <v>0.03</v>
      </c>
      <c r="Y39" s="20" t="n">
        <f aca="false">假设!$D$50</f>
        <v>0.03</v>
      </c>
      <c r="Z39" s="20" t="n">
        <f aca="false">假设!$D$50</f>
        <v>0.03</v>
      </c>
      <c r="AA39" s="20" t="n">
        <f aca="false">假设!$D$50</f>
        <v>0.03</v>
      </c>
      <c r="AB39" s="20" t="n">
        <f aca="false">假设!$D$50</f>
        <v>0.03</v>
      </c>
      <c r="AC39" s="20" t="n">
        <f aca="false">假设!$D$50</f>
        <v>0.03</v>
      </c>
      <c r="AD39" s="20" t="n">
        <f aca="false">假设!$D$50</f>
        <v>0.03</v>
      </c>
      <c r="AE39" s="20" t="n">
        <f aca="false">假设!$D$50</f>
        <v>0.03</v>
      </c>
      <c r="AF39" s="20" t="n">
        <f aca="false">假设!$D$50</f>
        <v>0.03</v>
      </c>
      <c r="AG39" s="20" t="n">
        <f aca="false">假设!$D$50</f>
        <v>0.03</v>
      </c>
      <c r="AH39" s="20" t="n">
        <f aca="false">假设!$D$50</f>
        <v>0.03</v>
      </c>
      <c r="AI39" s="20" t="n">
        <f aca="false">假设!$D$50</f>
        <v>0.03</v>
      </c>
      <c r="AJ39" s="20" t="n">
        <f aca="false">假设!$D$50</f>
        <v>0.03</v>
      </c>
      <c r="AK39" s="20" t="n">
        <f aca="false">假设!$D$50</f>
        <v>0.03</v>
      </c>
      <c r="AL39" s="20" t="n">
        <f aca="false">假设!$D$50</f>
        <v>0.03</v>
      </c>
      <c r="AM39" s="20" t="n">
        <f aca="false">假设!$D$50</f>
        <v>0.03</v>
      </c>
      <c r="AN39" s="3"/>
    </row>
    <row r="40" customFormat="false" ht="24" hidden="false" customHeight="true" outlineLevel="0" collapsed="false">
      <c r="A40" s="1"/>
      <c r="B40" s="1"/>
      <c r="C40" s="8" t="s">
        <v>194</v>
      </c>
      <c r="D40" s="11" t="n">
        <f aca="false">D28-(单位经济!$D$7*D39+假设!$D$51-假设!$D$11)*D6</f>
        <v>-59437.5</v>
      </c>
      <c r="E40" s="11" t="n">
        <f aca="false">E28-(单位经济!$D$7*E39+假设!$D$51-假设!$D$11)*E6</f>
        <v>-59437.5</v>
      </c>
      <c r="F40" s="11" t="n">
        <f aca="false">F28-(单位经济!$D$7*F39+假设!$D$51-假设!$D$11)*F6</f>
        <v>-59437.5</v>
      </c>
      <c r="G40" s="11" t="n">
        <f aca="false">G28-(单位经济!$D$7*G39+假设!$D$51-假设!$D$11)*G6</f>
        <v>-59437.5</v>
      </c>
      <c r="H40" s="11" t="n">
        <f aca="false">H28-(单位经济!$D$7*H39+假设!$D$51-假设!$D$11)*H6</f>
        <v>-62560</v>
      </c>
      <c r="I40" s="11" t="n">
        <f aca="false">I28-(单位经济!$D$7*I39+假设!$D$51-假设!$D$11)*I6</f>
        <v>-13640</v>
      </c>
      <c r="J40" s="11" t="n">
        <f aca="false">J28-(单位经济!$D$7*J39+假设!$D$51-假设!$D$11)*J6</f>
        <v>-11570</v>
      </c>
      <c r="K40" s="11" t="n">
        <f aca="false">K28-(单位经济!$D$7*K39+假设!$D$51-假设!$D$11)*K6</f>
        <v>-9500</v>
      </c>
      <c r="L40" s="11" t="n">
        <f aca="false">L28-(单位经济!$D$7*L39+假设!$D$51-假设!$D$11)*L6</f>
        <v>-7430</v>
      </c>
      <c r="M40" s="11" t="n">
        <f aca="false">M28-(单位经济!$D$7*M39+假设!$D$51-假设!$D$11)*M6</f>
        <v>-5360</v>
      </c>
      <c r="N40" s="11" t="n">
        <f aca="false">N28-(单位经济!$D$7*N39+假设!$D$51-假设!$D$11)*N6</f>
        <v>-3290</v>
      </c>
      <c r="O40" s="11" t="n">
        <f aca="false">O28-(单位经济!$D$7*O39+假设!$D$51-假设!$D$11)*O6</f>
        <v>-1220</v>
      </c>
      <c r="P40" s="11" t="n">
        <f aca="false">P28-(单位经济!$D$7*P39+假设!$D$51-假设!$D$11)*P6</f>
        <v>850</v>
      </c>
      <c r="Q40" s="11" t="n">
        <f aca="false">Q28-(单位经济!$D$7*Q39+假设!$D$51-假设!$D$11)*Q6</f>
        <v>2920</v>
      </c>
      <c r="R40" s="11" t="n">
        <f aca="false">R28-(单位经济!$D$7*R39+假设!$D$51-假设!$D$11)*R6</f>
        <v>4990</v>
      </c>
      <c r="S40" s="11" t="n">
        <f aca="false">S28-(单位经济!$D$7*S39+假设!$D$51-假设!$D$11)*S6</f>
        <v>7060</v>
      </c>
      <c r="T40" s="11" t="n">
        <f aca="false">T28-(单位经济!$D$7*T39+假设!$D$51-假设!$D$11)*T6</f>
        <v>9130</v>
      </c>
      <c r="U40" s="11" t="n">
        <f aca="false">U28-(单位经济!$D$7*U39+假设!$D$51-假设!$D$11)*U6</f>
        <v>11200</v>
      </c>
      <c r="V40" s="11" t="n">
        <f aca="false">V28-(单位经济!$D$7*V39+假设!$D$51-假设!$D$11)*V6</f>
        <v>13270</v>
      </c>
      <c r="W40" s="11" t="n">
        <f aca="false">W28-(单位经济!$D$7*W39+假设!$D$51-假设!$D$11)*W6</f>
        <v>15340</v>
      </c>
      <c r="X40" s="11" t="n">
        <f aca="false">X28-(单位经济!$D$7*X39+假设!$D$51-假设!$D$11)*X6</f>
        <v>17410</v>
      </c>
      <c r="Y40" s="11" t="n">
        <f aca="false">Y28-(单位经济!$D$7*Y39+假设!$D$51-假设!$D$11)*Y6</f>
        <v>19480</v>
      </c>
      <c r="Z40" s="11" t="n">
        <f aca="false">Z28-(单位经济!$D$7*Z39+假设!$D$51-假设!$D$11)*Z6</f>
        <v>21550</v>
      </c>
      <c r="AA40" s="11" t="n">
        <f aca="false">AA28-(单位经济!$D$7*AA39+假设!$D$51-假设!$D$11)*AA6</f>
        <v>23620</v>
      </c>
      <c r="AB40" s="11" t="n">
        <f aca="false">AB28-(单位经济!$D$7*AB39+假设!$D$51-假设!$D$11)*AB6</f>
        <v>25690</v>
      </c>
      <c r="AC40" s="11" t="n">
        <f aca="false">AC28-(单位经济!$D$7*AC39+假设!$D$51-假设!$D$11)*AC6</f>
        <v>27760</v>
      </c>
      <c r="AD40" s="11" t="n">
        <f aca="false">AD28-(单位经济!$D$7*AD39+假设!$D$51-假设!$D$11)*AD6</f>
        <v>29830</v>
      </c>
      <c r="AE40" s="11" t="n">
        <f aca="false">AE28-(单位经济!$D$7*AE39+假设!$D$51-假设!$D$11)*AE6</f>
        <v>31900</v>
      </c>
      <c r="AF40" s="11" t="n">
        <f aca="false">AF28-(单位经济!$D$7*AF39+假设!$D$51-假设!$D$11)*AF6</f>
        <v>34750</v>
      </c>
      <c r="AG40" s="11" t="n">
        <f aca="false">AG28-(单位经济!$D$7*AG39+假设!$D$51-假设!$D$11)*AG6</f>
        <v>34750</v>
      </c>
      <c r="AH40" s="11" t="n">
        <f aca="false">AH28-(单位经济!$D$7*AH39+假设!$D$51-假设!$D$11)*AH6</f>
        <v>34750</v>
      </c>
      <c r="AI40" s="11" t="n">
        <f aca="false">AI28-(单位经济!$D$7*AI39+假设!$D$51-假设!$D$11)*AI6</f>
        <v>34750</v>
      </c>
      <c r="AJ40" s="11" t="n">
        <f aca="false">AJ28-(单位经济!$D$7*AJ39+假设!$D$51-假设!$D$11)*AJ6</f>
        <v>34750</v>
      </c>
      <c r="AK40" s="11" t="n">
        <f aca="false">AK28-(单位经济!$D$7*AK39+假设!$D$51-假设!$D$11)*AK6</f>
        <v>34750</v>
      </c>
      <c r="AL40" s="11" t="n">
        <f aca="false">AL28-(单位经济!$D$7*AL39+假设!$D$51-假设!$D$11)*AL6</f>
        <v>34750</v>
      </c>
      <c r="AM40" s="11" t="n">
        <f aca="false">AM28-(单位经济!$D$7*AM39+假设!$D$51-假设!$D$11)*AM6</f>
        <v>34750</v>
      </c>
      <c r="AN40" s="3"/>
    </row>
    <row r="41" customFormat="false" ht="24" hidden="false" customHeight="true" outlineLevel="0" collapsed="false">
      <c r="A41" s="1"/>
      <c r="B41" s="1"/>
      <c r="C41" s="8" t="s">
        <v>195</v>
      </c>
      <c r="D41" s="2" t="n">
        <f aca="false">D40</f>
        <v>-59437.5</v>
      </c>
      <c r="E41" s="2" t="n">
        <f aca="false">D41+E40</f>
        <v>-118875</v>
      </c>
      <c r="F41" s="2" t="n">
        <f aca="false">E41+F40</f>
        <v>-178312.5</v>
      </c>
      <c r="G41" s="2" t="n">
        <f aca="false">F41+G40</f>
        <v>-237750</v>
      </c>
      <c r="H41" s="2" t="n">
        <f aca="false">G41+H40</f>
        <v>-300310</v>
      </c>
      <c r="I41" s="2" t="n">
        <f aca="false">H41+I40</f>
        <v>-313950</v>
      </c>
      <c r="J41" s="2" t="n">
        <f aca="false">I41+J40</f>
        <v>-325520</v>
      </c>
      <c r="K41" s="2" t="n">
        <f aca="false">J41+K40</f>
        <v>-335020</v>
      </c>
      <c r="L41" s="2" t="n">
        <f aca="false">K41+L40</f>
        <v>-342450</v>
      </c>
      <c r="M41" s="2" t="n">
        <f aca="false">L41+M40</f>
        <v>-347810</v>
      </c>
      <c r="N41" s="2" t="n">
        <f aca="false">M41+N40</f>
        <v>-351100</v>
      </c>
      <c r="O41" s="2" t="n">
        <f aca="false">N41+O40</f>
        <v>-352320</v>
      </c>
      <c r="P41" s="2" t="n">
        <f aca="false">O41+P40</f>
        <v>-351470</v>
      </c>
      <c r="Q41" s="2" t="n">
        <f aca="false">P41+Q40</f>
        <v>-348550</v>
      </c>
      <c r="R41" s="2" t="n">
        <f aca="false">Q41+R40</f>
        <v>-343560</v>
      </c>
      <c r="S41" s="2" t="n">
        <f aca="false">R41+S40</f>
        <v>-336500</v>
      </c>
      <c r="T41" s="2" t="n">
        <f aca="false">S41+T40</f>
        <v>-327370</v>
      </c>
      <c r="U41" s="2" t="n">
        <f aca="false">T41+U40</f>
        <v>-316170</v>
      </c>
      <c r="V41" s="2" t="n">
        <f aca="false">U41+V40</f>
        <v>-302900</v>
      </c>
      <c r="W41" s="2" t="n">
        <f aca="false">V41+W40</f>
        <v>-287560</v>
      </c>
      <c r="X41" s="2" t="n">
        <f aca="false">W41+X40</f>
        <v>-270150</v>
      </c>
      <c r="Y41" s="2" t="n">
        <f aca="false">X41+Y40</f>
        <v>-250670</v>
      </c>
      <c r="Z41" s="2" t="n">
        <f aca="false">Y41+Z40</f>
        <v>-229120</v>
      </c>
      <c r="AA41" s="2" t="n">
        <f aca="false">Z41+AA40</f>
        <v>-205500</v>
      </c>
      <c r="AB41" s="2" t="n">
        <f aca="false">AA41+AB40</f>
        <v>-179810</v>
      </c>
      <c r="AC41" s="2" t="n">
        <f aca="false">AB41+AC40</f>
        <v>-152050</v>
      </c>
      <c r="AD41" s="2" t="n">
        <f aca="false">AC41+AD40</f>
        <v>-122220</v>
      </c>
      <c r="AE41" s="2" t="n">
        <f aca="false">AD41+AE40</f>
        <v>-90320</v>
      </c>
      <c r="AF41" s="2" t="n">
        <f aca="false">AE41+AF40</f>
        <v>-55570</v>
      </c>
      <c r="AG41" s="2" t="n">
        <f aca="false">AF41+AG40</f>
        <v>-20820</v>
      </c>
      <c r="AH41" s="2" t="n">
        <f aca="false">AG41+AH40</f>
        <v>13930</v>
      </c>
      <c r="AI41" s="2" t="n">
        <f aca="false">AH41+AI40</f>
        <v>48680</v>
      </c>
      <c r="AJ41" s="2" t="n">
        <f aca="false">AI41+AJ40</f>
        <v>83430</v>
      </c>
      <c r="AK41" s="2" t="n">
        <f aca="false">AJ41+AK40</f>
        <v>118180</v>
      </c>
      <c r="AL41" s="2" t="n">
        <f aca="false">AK41+AL40</f>
        <v>152930</v>
      </c>
      <c r="AM41" s="2" t="n">
        <f aca="false">AL41+AM40</f>
        <v>187680</v>
      </c>
      <c r="AN41" s="3"/>
    </row>
    <row r="42" customFormat="false" ht="24" hidden="false" customHeight="true" outlineLevel="0" collapsed="false">
      <c r="A42" s="1"/>
      <c r="B42" s="1"/>
      <c r="C42" s="8" t="s">
        <v>196</v>
      </c>
      <c r="D42" s="11" t="n">
        <f aca="false">IF(AND(D$5&gt;假设!$D$25,D41&gt;=0),D$5,999)</f>
        <v>999</v>
      </c>
      <c r="E42" s="11" t="n">
        <f aca="false">IF(AND(E$5&gt;假设!$D$25,E41&gt;=0),E$5,999)</f>
        <v>999</v>
      </c>
      <c r="F42" s="11" t="n">
        <f aca="false">IF(AND(F$5&gt;假设!$D$25,F41&gt;=0),F$5,999)</f>
        <v>999</v>
      </c>
      <c r="G42" s="11" t="n">
        <f aca="false">IF(AND(G$5&gt;假设!$D$25,G41&gt;=0),G$5,999)</f>
        <v>999</v>
      </c>
      <c r="H42" s="11" t="n">
        <f aca="false">IF(AND(H$5&gt;假设!$D$25,H41&gt;=0),H$5,999)</f>
        <v>999</v>
      </c>
      <c r="I42" s="11" t="n">
        <f aca="false">IF(AND(I$5&gt;假设!$D$25,I41&gt;=0),I$5,999)</f>
        <v>999</v>
      </c>
      <c r="J42" s="11" t="n">
        <f aca="false">IF(AND(J$5&gt;假设!$D$25,J41&gt;=0),J$5,999)</f>
        <v>999</v>
      </c>
      <c r="K42" s="11" t="n">
        <f aca="false">IF(AND(K$5&gt;假设!$D$25,K41&gt;=0),K$5,999)</f>
        <v>999</v>
      </c>
      <c r="L42" s="11" t="n">
        <f aca="false">IF(AND(L$5&gt;假设!$D$25,L41&gt;=0),L$5,999)</f>
        <v>999</v>
      </c>
      <c r="M42" s="11" t="n">
        <f aca="false">IF(AND(M$5&gt;假设!$D$25,M41&gt;=0),M$5,999)</f>
        <v>999</v>
      </c>
      <c r="N42" s="11" t="n">
        <f aca="false">IF(AND(N$5&gt;假设!$D$25,N41&gt;=0),N$5,999)</f>
        <v>999</v>
      </c>
      <c r="O42" s="11" t="n">
        <f aca="false">IF(AND(O$5&gt;假设!$D$25,O41&gt;=0),O$5,999)</f>
        <v>999</v>
      </c>
      <c r="P42" s="11" t="n">
        <f aca="false">IF(AND(P$5&gt;假设!$D$25,P41&gt;=0),P$5,999)</f>
        <v>999</v>
      </c>
      <c r="Q42" s="11" t="n">
        <f aca="false">IF(AND(Q$5&gt;假设!$D$25,Q41&gt;=0),Q$5,999)</f>
        <v>999</v>
      </c>
      <c r="R42" s="11" t="n">
        <f aca="false">IF(AND(R$5&gt;假设!$D$25,R41&gt;=0),R$5,999)</f>
        <v>999</v>
      </c>
      <c r="S42" s="11" t="n">
        <f aca="false">IF(AND(S$5&gt;假设!$D$25,S41&gt;=0),S$5,999)</f>
        <v>999</v>
      </c>
      <c r="T42" s="11" t="n">
        <f aca="false">IF(AND(T$5&gt;假设!$D$25,T41&gt;=0),T$5,999)</f>
        <v>999</v>
      </c>
      <c r="U42" s="11" t="n">
        <f aca="false">IF(AND(U$5&gt;假设!$D$25,U41&gt;=0),U$5,999)</f>
        <v>999</v>
      </c>
      <c r="V42" s="11" t="n">
        <f aca="false">IF(AND(V$5&gt;假设!$D$25,V41&gt;=0),V$5,999)</f>
        <v>999</v>
      </c>
      <c r="W42" s="11" t="n">
        <f aca="false">IF(AND(W$5&gt;假设!$D$25,W41&gt;=0),W$5,999)</f>
        <v>999</v>
      </c>
      <c r="X42" s="11" t="n">
        <f aca="false">IF(AND(X$5&gt;假设!$D$25,X41&gt;=0),X$5,999)</f>
        <v>999</v>
      </c>
      <c r="Y42" s="11" t="n">
        <f aca="false">IF(AND(Y$5&gt;假设!$D$25,Y41&gt;=0),Y$5,999)</f>
        <v>999</v>
      </c>
      <c r="Z42" s="11" t="n">
        <f aca="false">IF(AND(Z$5&gt;假设!$D$25,Z41&gt;=0),Z$5,999)</f>
        <v>999</v>
      </c>
      <c r="AA42" s="11" t="n">
        <f aca="false">IF(AND(AA$5&gt;假设!$D$25,AA41&gt;=0),AA$5,999)</f>
        <v>999</v>
      </c>
      <c r="AB42" s="11" t="n">
        <f aca="false">IF(AND(AB$5&gt;假设!$D$25,AB41&gt;=0),AB$5,999)</f>
        <v>999</v>
      </c>
      <c r="AC42" s="11" t="n">
        <f aca="false">IF(AND(AC$5&gt;假设!$D$25,AC41&gt;=0),AC$5,999)</f>
        <v>999</v>
      </c>
      <c r="AD42" s="11" t="n">
        <f aca="false">IF(AND(AD$5&gt;假设!$D$25,AD41&gt;=0),AD$5,999)</f>
        <v>999</v>
      </c>
      <c r="AE42" s="11" t="n">
        <f aca="false">IF(AND(AE$5&gt;假设!$D$25,AE41&gt;=0),AE$5,999)</f>
        <v>999</v>
      </c>
      <c r="AF42" s="11" t="n">
        <f aca="false">IF(AND(AF$5&gt;假设!$D$25,AF41&gt;=0),AF$5,999)</f>
        <v>999</v>
      </c>
      <c r="AG42" s="11" t="n">
        <f aca="false">IF(AND(AG$5&gt;假设!$D$25,AG41&gt;=0),AG$5,999)</f>
        <v>999</v>
      </c>
      <c r="AH42" s="11" t="n">
        <f aca="false">IF(AND(AH$5&gt;假设!$D$25,AH41&gt;=0),AH$5,999)</f>
        <v>31</v>
      </c>
      <c r="AI42" s="11" t="n">
        <f aca="false">IF(AND(AI$5&gt;假设!$D$25,AI41&gt;=0),AI$5,999)</f>
        <v>32</v>
      </c>
      <c r="AJ42" s="11" t="n">
        <f aca="false">IF(AND(AJ$5&gt;假设!$D$25,AJ41&gt;=0),AJ$5,999)</f>
        <v>33</v>
      </c>
      <c r="AK42" s="11" t="n">
        <f aca="false">IF(AND(AK$5&gt;假设!$D$25,AK41&gt;=0),AK$5,999)</f>
        <v>34</v>
      </c>
      <c r="AL42" s="11" t="n">
        <f aca="false">IF(AND(AL$5&gt;假设!$D$25,AL41&gt;=0),AL$5,999)</f>
        <v>35</v>
      </c>
      <c r="AM42" s="11" t="n">
        <f aca="false">IF(AND(AM$5&gt;假设!$D$25,AM41&gt;=0),AM$5,999)</f>
        <v>36</v>
      </c>
      <c r="AN42" s="3"/>
    </row>
    <row r="43" customFormat="false" ht="24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customFormat="false" ht="24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customFormat="false" ht="15" hidden="false" customHeight="false" outlineLevel="0" collapsed="false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0" min="4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customFormat="false" ht="24" hidden="false" customHeight="true" outlineLevel="0" collapsed="false">
      <c r="A2" s="1"/>
      <c r="B2" s="1"/>
      <c r="C2" s="4" t="s">
        <v>199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 customFormat="false" ht="24" hidden="false" customHeight="true" outlineLevel="0" collapsed="false">
      <c r="A3" s="1"/>
      <c r="B3" s="1"/>
      <c r="C3" s="8" t="s">
        <v>200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/>
    </row>
    <row r="5" customFormat="false" ht="24" hidden="false" customHeight="true" outlineLevel="0" collapsed="false">
      <c r="A5" s="1"/>
      <c r="B5" s="1"/>
      <c r="C5" s="1"/>
      <c r="D5" s="22" t="n">
        <v>1</v>
      </c>
      <c r="E5" s="22" t="n">
        <v>2</v>
      </c>
      <c r="F5" s="22" t="n">
        <v>3</v>
      </c>
      <c r="G5" s="22" t="n">
        <v>4</v>
      </c>
      <c r="H5" s="22" t="n">
        <v>5</v>
      </c>
      <c r="I5" s="22" t="n">
        <v>6</v>
      </c>
      <c r="J5" s="22" t="n">
        <v>7</v>
      </c>
      <c r="K5" s="22" t="n">
        <v>8</v>
      </c>
      <c r="L5" s="22" t="n">
        <v>9</v>
      </c>
      <c r="M5" s="22" t="n">
        <v>10</v>
      </c>
      <c r="N5" s="22" t="n">
        <v>11</v>
      </c>
      <c r="O5" s="22" t="n">
        <v>12</v>
      </c>
      <c r="P5" s="22" t="n">
        <v>13</v>
      </c>
      <c r="Q5" s="22" t="n">
        <v>14</v>
      </c>
      <c r="R5" s="22" t="n">
        <v>15</v>
      </c>
      <c r="S5" s="22" t="n">
        <v>16</v>
      </c>
      <c r="T5" s="22" t="n">
        <v>17</v>
      </c>
      <c r="U5" s="22" t="n">
        <v>18</v>
      </c>
      <c r="V5" s="22" t="n">
        <v>19</v>
      </c>
      <c r="W5" s="22" t="n">
        <v>20</v>
      </c>
      <c r="X5" s="22" t="n">
        <v>21</v>
      </c>
      <c r="Y5" s="22" t="n">
        <v>22</v>
      </c>
      <c r="Z5" s="22" t="n">
        <v>23</v>
      </c>
      <c r="AA5" s="22" t="n">
        <v>24</v>
      </c>
      <c r="AB5" s="22" t="n">
        <v>25</v>
      </c>
      <c r="AC5" s="22" t="n">
        <v>26</v>
      </c>
      <c r="AD5" s="22" t="n">
        <v>27</v>
      </c>
      <c r="AE5" s="22" t="n">
        <v>28</v>
      </c>
      <c r="AF5" s="22" t="n">
        <v>29</v>
      </c>
      <c r="AG5" s="22" t="n">
        <v>30</v>
      </c>
      <c r="AH5" s="22" t="n">
        <v>31</v>
      </c>
      <c r="AI5" s="22" t="n">
        <v>32</v>
      </c>
      <c r="AJ5" s="22" t="n">
        <v>33</v>
      </c>
      <c r="AK5" s="22" t="n">
        <v>34</v>
      </c>
      <c r="AL5" s="22" t="n">
        <v>35</v>
      </c>
      <c r="AM5" s="22" t="n">
        <v>36</v>
      </c>
      <c r="AN5" s="3"/>
    </row>
    <row r="6" customFormat="false" ht="24" hidden="false" customHeight="true" outlineLevel="0" collapsed="false">
      <c r="A6" s="1"/>
      <c r="B6" s="1"/>
      <c r="C6" s="8" t="s">
        <v>163</v>
      </c>
      <c r="D6" s="11" t="n">
        <f aca="false">假设!D33</f>
        <v>0</v>
      </c>
      <c r="E6" s="11" t="n">
        <f aca="false">假设!E33</f>
        <v>0</v>
      </c>
      <c r="F6" s="11" t="n">
        <f aca="false">假设!F33</f>
        <v>0</v>
      </c>
      <c r="G6" s="11" t="n">
        <f aca="false">假设!G33</f>
        <v>0</v>
      </c>
      <c r="H6" s="11" t="n">
        <f aca="false">假设!H33</f>
        <v>12</v>
      </c>
      <c r="I6" s="11" t="n">
        <f aca="false">假设!I33</f>
        <v>20</v>
      </c>
      <c r="J6" s="11" t="n">
        <f aca="false">假设!J33</f>
        <v>28</v>
      </c>
      <c r="K6" s="11" t="n">
        <f aca="false">假设!K33</f>
        <v>36</v>
      </c>
      <c r="L6" s="11" t="n">
        <f aca="false">假设!L33</f>
        <v>44</v>
      </c>
      <c r="M6" s="11" t="n">
        <f aca="false">假设!M33</f>
        <v>52</v>
      </c>
      <c r="N6" s="11" t="n">
        <f aca="false">假设!N33</f>
        <v>60</v>
      </c>
      <c r="O6" s="11" t="n">
        <f aca="false">假设!O33</f>
        <v>68</v>
      </c>
      <c r="P6" s="11" t="n">
        <f aca="false">假设!P33</f>
        <v>76</v>
      </c>
      <c r="Q6" s="11" t="n">
        <f aca="false">假设!Q33</f>
        <v>84</v>
      </c>
      <c r="R6" s="11" t="n">
        <f aca="false">假设!R33</f>
        <v>92</v>
      </c>
      <c r="S6" s="11" t="n">
        <f aca="false">假设!S33</f>
        <v>100</v>
      </c>
      <c r="T6" s="11" t="n">
        <f aca="false">假设!T33</f>
        <v>110</v>
      </c>
      <c r="U6" s="11" t="n">
        <f aca="false">假设!U33</f>
        <v>120</v>
      </c>
      <c r="V6" s="11" t="n">
        <f aca="false">假设!V33</f>
        <v>130</v>
      </c>
      <c r="W6" s="11" t="n">
        <f aca="false">假设!W33</f>
        <v>140</v>
      </c>
      <c r="X6" s="11" t="n">
        <f aca="false">假设!X33</f>
        <v>150</v>
      </c>
      <c r="Y6" s="11" t="n">
        <f aca="false">假设!Y33</f>
        <v>160</v>
      </c>
      <c r="Z6" s="11" t="n">
        <f aca="false">假设!Z33</f>
        <v>170</v>
      </c>
      <c r="AA6" s="11" t="n">
        <f aca="false">假设!AA33</f>
        <v>180</v>
      </c>
      <c r="AB6" s="11" t="n">
        <f aca="false">假设!AB33</f>
        <v>190</v>
      </c>
      <c r="AC6" s="11" t="n">
        <f aca="false">假设!AC33</f>
        <v>200</v>
      </c>
      <c r="AD6" s="11" t="n">
        <f aca="false">假设!AD33</f>
        <v>210</v>
      </c>
      <c r="AE6" s="11" t="n">
        <f aca="false">假设!AE33</f>
        <v>220</v>
      </c>
      <c r="AF6" s="11" t="n">
        <f aca="false">假设!AF33</f>
        <v>230</v>
      </c>
      <c r="AG6" s="11" t="n">
        <f aca="false">假设!AG33</f>
        <v>240</v>
      </c>
      <c r="AH6" s="11" t="n">
        <f aca="false">假设!AH33</f>
        <v>240</v>
      </c>
      <c r="AI6" s="11" t="n">
        <f aca="false">假设!AI33</f>
        <v>240</v>
      </c>
      <c r="AJ6" s="11" t="n">
        <f aca="false">假设!AJ33</f>
        <v>240</v>
      </c>
      <c r="AK6" s="11" t="n">
        <f aca="false">假设!AK33</f>
        <v>240</v>
      </c>
      <c r="AL6" s="11" t="n">
        <f aca="false">假设!AL33</f>
        <v>240</v>
      </c>
      <c r="AM6" s="11" t="n">
        <f aca="false">假设!AM33</f>
        <v>240</v>
      </c>
      <c r="AN6" s="3"/>
    </row>
    <row r="7" customFormat="false" ht="24" hidden="false" customHeight="true" outlineLevel="0" collapsed="false">
      <c r="A7" s="1"/>
      <c r="B7" s="1"/>
      <c r="C7" s="8" t="s">
        <v>164</v>
      </c>
      <c r="D7" s="23" t="n">
        <f aca="false">D6/假设!$D$21</f>
        <v>0</v>
      </c>
      <c r="E7" s="23" t="n">
        <f aca="false">E6/假设!$D$21</f>
        <v>0</v>
      </c>
      <c r="F7" s="23" t="n">
        <f aca="false">F6/假设!$D$21</f>
        <v>0</v>
      </c>
      <c r="G7" s="23" t="n">
        <f aca="false">G6/假设!$D$21</f>
        <v>0</v>
      </c>
      <c r="H7" s="23" t="n">
        <f aca="false">H6/假设!$D$21</f>
        <v>6</v>
      </c>
      <c r="I7" s="23" t="n">
        <f aca="false">I6/假设!$D$21</f>
        <v>10</v>
      </c>
      <c r="J7" s="23" t="n">
        <f aca="false">J6/假设!$D$21</f>
        <v>14</v>
      </c>
      <c r="K7" s="23" t="n">
        <f aca="false">K6/假设!$D$21</f>
        <v>18</v>
      </c>
      <c r="L7" s="23" t="n">
        <f aca="false">L6/假设!$D$21</f>
        <v>22</v>
      </c>
      <c r="M7" s="23" t="n">
        <f aca="false">M6/假设!$D$21</f>
        <v>26</v>
      </c>
      <c r="N7" s="23" t="n">
        <f aca="false">N6/假设!$D$21</f>
        <v>30</v>
      </c>
      <c r="O7" s="23" t="n">
        <f aca="false">O6/假设!$D$21</f>
        <v>34</v>
      </c>
      <c r="P7" s="23" t="n">
        <f aca="false">P6/假设!$D$21</f>
        <v>38</v>
      </c>
      <c r="Q7" s="23" t="n">
        <f aca="false">Q6/假设!$D$21</f>
        <v>42</v>
      </c>
      <c r="R7" s="23" t="n">
        <f aca="false">R6/假设!$D$21</f>
        <v>46</v>
      </c>
      <c r="S7" s="23" t="n">
        <f aca="false">S6/假设!$D$21</f>
        <v>50</v>
      </c>
      <c r="T7" s="23" t="n">
        <f aca="false">T6/假设!$D$21</f>
        <v>55</v>
      </c>
      <c r="U7" s="23" t="n">
        <f aca="false">U6/假设!$D$21</f>
        <v>60</v>
      </c>
      <c r="V7" s="23" t="n">
        <f aca="false">V6/假设!$D$21</f>
        <v>65</v>
      </c>
      <c r="W7" s="23" t="n">
        <f aca="false">W6/假设!$D$21</f>
        <v>70</v>
      </c>
      <c r="X7" s="23" t="n">
        <f aca="false">X6/假设!$D$21</f>
        <v>75</v>
      </c>
      <c r="Y7" s="23" t="n">
        <f aca="false">Y6/假设!$D$21</f>
        <v>80</v>
      </c>
      <c r="Z7" s="23" t="n">
        <f aca="false">Z6/假设!$D$21</f>
        <v>85</v>
      </c>
      <c r="AA7" s="23" t="n">
        <f aca="false">AA6/假设!$D$21</f>
        <v>90</v>
      </c>
      <c r="AB7" s="23" t="n">
        <f aca="false">AB6/假设!$D$21</f>
        <v>95</v>
      </c>
      <c r="AC7" s="23" t="n">
        <f aca="false">AC6/假设!$D$21</f>
        <v>100</v>
      </c>
      <c r="AD7" s="23" t="n">
        <f aca="false">AD6/假设!$D$21</f>
        <v>105</v>
      </c>
      <c r="AE7" s="23" t="n">
        <f aca="false">AE6/假设!$D$21</f>
        <v>110</v>
      </c>
      <c r="AF7" s="23" t="n">
        <f aca="false">AF6/假设!$D$21</f>
        <v>115</v>
      </c>
      <c r="AG7" s="23" t="n">
        <f aca="false">AG6/假设!$D$21</f>
        <v>120</v>
      </c>
      <c r="AH7" s="23" t="n">
        <f aca="false">AH6/假设!$D$21</f>
        <v>120</v>
      </c>
      <c r="AI7" s="23" t="n">
        <f aca="false">AI6/假设!$D$21</f>
        <v>120</v>
      </c>
      <c r="AJ7" s="23" t="n">
        <f aca="false">AJ6/假设!$D$21</f>
        <v>120</v>
      </c>
      <c r="AK7" s="23" t="n">
        <f aca="false">AK6/假设!$D$21</f>
        <v>120</v>
      </c>
      <c r="AL7" s="23" t="n">
        <f aca="false">AL6/假设!$D$21</f>
        <v>120</v>
      </c>
      <c r="AM7" s="23" t="n">
        <f aca="false">AM6/假设!$D$21</f>
        <v>120</v>
      </c>
      <c r="AN7" s="3"/>
    </row>
    <row r="8" customFormat="false" ht="24" hidden="false" customHeight="true" outlineLevel="0" collapsed="false">
      <c r="A8" s="1"/>
      <c r="B8" s="1"/>
      <c r="C8" s="8" t="s">
        <v>165</v>
      </c>
      <c r="D8" s="24" t="n">
        <f aca="false">0</f>
        <v>0</v>
      </c>
      <c r="E8" s="23" t="n">
        <f aca="false">MIN(E7,D7*(1-假设!$D$22))</f>
        <v>0</v>
      </c>
      <c r="F8" s="23" t="n">
        <f aca="false">MIN(F7,E7*(1-假设!$D$22))</f>
        <v>0</v>
      </c>
      <c r="G8" s="23" t="n">
        <f aca="false">MIN(G7,F7*(1-假设!$D$22))</f>
        <v>0</v>
      </c>
      <c r="H8" s="23" t="n">
        <f aca="false">MIN(H7,G7*(1-假设!$D$22))</f>
        <v>0</v>
      </c>
      <c r="I8" s="23" t="n">
        <f aca="false">MIN(I7,H7*(1-假设!$D$22))</f>
        <v>5.7</v>
      </c>
      <c r="J8" s="23" t="n">
        <f aca="false">MIN(J7,I7*(1-假设!$D$22))</f>
        <v>9.5</v>
      </c>
      <c r="K8" s="23" t="n">
        <f aca="false">MIN(K7,J7*(1-假设!$D$22))</f>
        <v>13.3</v>
      </c>
      <c r="L8" s="23" t="n">
        <f aca="false">MIN(L7,K7*(1-假设!$D$22))</f>
        <v>17.1</v>
      </c>
      <c r="M8" s="23" t="n">
        <f aca="false">MIN(M7,L7*(1-假设!$D$22))</f>
        <v>20.9</v>
      </c>
      <c r="N8" s="23" t="n">
        <f aca="false">MIN(N7,M7*(1-假设!$D$22))</f>
        <v>24.7</v>
      </c>
      <c r="O8" s="23" t="n">
        <f aca="false">MIN(O7,N7*(1-假设!$D$22))</f>
        <v>28.5</v>
      </c>
      <c r="P8" s="23" t="n">
        <f aca="false">MIN(P7,O7*(1-假设!$D$22))</f>
        <v>32.3</v>
      </c>
      <c r="Q8" s="23" t="n">
        <f aca="false">MIN(Q7,P7*(1-假设!$D$22))</f>
        <v>36.1</v>
      </c>
      <c r="R8" s="23" t="n">
        <f aca="false">MIN(R7,Q7*(1-假设!$D$22))</f>
        <v>39.9</v>
      </c>
      <c r="S8" s="23" t="n">
        <f aca="false">MIN(S7,R7*(1-假设!$D$22))</f>
        <v>43.7</v>
      </c>
      <c r="T8" s="23" t="n">
        <f aca="false">MIN(T7,S7*(1-假设!$D$22))</f>
        <v>47.5</v>
      </c>
      <c r="U8" s="23" t="n">
        <f aca="false">MIN(U7,T7*(1-假设!$D$22))</f>
        <v>52.25</v>
      </c>
      <c r="V8" s="23" t="n">
        <f aca="false">MIN(V7,U7*(1-假设!$D$22))</f>
        <v>57</v>
      </c>
      <c r="W8" s="23" t="n">
        <f aca="false">MIN(W7,V7*(1-假设!$D$22))</f>
        <v>61.75</v>
      </c>
      <c r="X8" s="23" t="n">
        <f aca="false">MIN(X7,W7*(1-假设!$D$22))</f>
        <v>66.5</v>
      </c>
      <c r="Y8" s="23" t="n">
        <f aca="false">MIN(Y7,X7*(1-假设!$D$22))</f>
        <v>71.25</v>
      </c>
      <c r="Z8" s="23" t="n">
        <f aca="false">MIN(Z7,Y7*(1-假设!$D$22))</f>
        <v>76</v>
      </c>
      <c r="AA8" s="23" t="n">
        <f aca="false">MIN(AA7,Z7*(1-假设!$D$22))</f>
        <v>80.75</v>
      </c>
      <c r="AB8" s="23" t="n">
        <f aca="false">MIN(AB7,AA7*(1-假设!$D$22))</f>
        <v>85.5</v>
      </c>
      <c r="AC8" s="23" t="n">
        <f aca="false">MIN(AC7,AB7*(1-假设!$D$22))</f>
        <v>90.25</v>
      </c>
      <c r="AD8" s="23" t="n">
        <f aca="false">MIN(AD7,AC7*(1-假设!$D$22))</f>
        <v>95</v>
      </c>
      <c r="AE8" s="23" t="n">
        <f aca="false">MIN(AE7,AD7*(1-假设!$D$22))</f>
        <v>99.75</v>
      </c>
      <c r="AF8" s="23" t="n">
        <f aca="false">MIN(AF7,AE7*(1-假设!$D$22))</f>
        <v>104.5</v>
      </c>
      <c r="AG8" s="23" t="n">
        <f aca="false">MIN(AG7,AF7*(1-假设!$D$22))</f>
        <v>109.25</v>
      </c>
      <c r="AH8" s="23" t="n">
        <f aca="false">MIN(AH7,AG7*(1-假设!$D$22))</f>
        <v>114</v>
      </c>
      <c r="AI8" s="23" t="n">
        <f aca="false">MIN(AI7,AH7*(1-假设!$D$22))</f>
        <v>114</v>
      </c>
      <c r="AJ8" s="23" t="n">
        <f aca="false">MIN(AJ7,AI7*(1-假设!$D$22))</f>
        <v>114</v>
      </c>
      <c r="AK8" s="23" t="n">
        <f aca="false">MIN(AK7,AJ7*(1-假设!$D$22))</f>
        <v>114</v>
      </c>
      <c r="AL8" s="23" t="n">
        <f aca="false">MIN(AL7,AK7*(1-假设!$D$22))</f>
        <v>114</v>
      </c>
      <c r="AM8" s="23" t="n">
        <f aca="false">MIN(AM7,AL7*(1-假设!$D$22))</f>
        <v>114</v>
      </c>
      <c r="AN8" s="3"/>
    </row>
    <row r="9" customFormat="false" ht="24" hidden="false" customHeight="true" outlineLevel="0" collapsed="false">
      <c r="A9" s="1"/>
      <c r="B9" s="1"/>
      <c r="C9" s="8" t="s">
        <v>166</v>
      </c>
      <c r="D9" s="24" t="n">
        <f aca="false">MAX(0,D7-D8)</f>
        <v>0</v>
      </c>
      <c r="E9" s="24" t="n">
        <f aca="false">MAX(0,E7-E8)</f>
        <v>0</v>
      </c>
      <c r="F9" s="24" t="n">
        <f aca="false">MAX(0,F7-F8)</f>
        <v>0</v>
      </c>
      <c r="G9" s="24" t="n">
        <f aca="false">MAX(0,G7-G8)</f>
        <v>0</v>
      </c>
      <c r="H9" s="24" t="n">
        <f aca="false">MAX(0,H7-H8)</f>
        <v>6</v>
      </c>
      <c r="I9" s="24" t="n">
        <f aca="false">MAX(0,I7-I8)</f>
        <v>4.3</v>
      </c>
      <c r="J9" s="24" t="n">
        <f aca="false">MAX(0,J7-J8)</f>
        <v>4.5</v>
      </c>
      <c r="K9" s="24" t="n">
        <f aca="false">MAX(0,K7-K8)</f>
        <v>4.7</v>
      </c>
      <c r="L9" s="24" t="n">
        <f aca="false">MAX(0,L7-L8)</f>
        <v>4.9</v>
      </c>
      <c r="M9" s="24" t="n">
        <f aca="false">MAX(0,M7-M8)</f>
        <v>5.1</v>
      </c>
      <c r="N9" s="24" t="n">
        <f aca="false">MAX(0,N7-N8)</f>
        <v>5.3</v>
      </c>
      <c r="O9" s="24" t="n">
        <f aca="false">MAX(0,O7-O8)</f>
        <v>5.5</v>
      </c>
      <c r="P9" s="24" t="n">
        <f aca="false">MAX(0,P7-P8)</f>
        <v>5.7</v>
      </c>
      <c r="Q9" s="24" t="n">
        <f aca="false">MAX(0,Q7-Q8)</f>
        <v>5.9</v>
      </c>
      <c r="R9" s="24" t="n">
        <f aca="false">MAX(0,R7-R8)</f>
        <v>6.1</v>
      </c>
      <c r="S9" s="24" t="n">
        <f aca="false">MAX(0,S7-S8)</f>
        <v>6.3</v>
      </c>
      <c r="T9" s="24" t="n">
        <f aca="false">MAX(0,T7-T8)</f>
        <v>7.5</v>
      </c>
      <c r="U9" s="24" t="n">
        <f aca="false">MAX(0,U7-U8)</f>
        <v>7.75</v>
      </c>
      <c r="V9" s="24" t="n">
        <f aca="false">MAX(0,V7-V8)</f>
        <v>8</v>
      </c>
      <c r="W9" s="24" t="n">
        <f aca="false">MAX(0,W7-W8)</f>
        <v>8.25</v>
      </c>
      <c r="X9" s="24" t="n">
        <f aca="false">MAX(0,X7-X8)</f>
        <v>8.5</v>
      </c>
      <c r="Y9" s="24" t="n">
        <f aca="false">MAX(0,Y7-Y8)</f>
        <v>8.75</v>
      </c>
      <c r="Z9" s="24" t="n">
        <f aca="false">MAX(0,Z7-Z8)</f>
        <v>9</v>
      </c>
      <c r="AA9" s="24" t="n">
        <f aca="false">MAX(0,AA7-AA8)</f>
        <v>9.25</v>
      </c>
      <c r="AB9" s="24" t="n">
        <f aca="false">MAX(0,AB7-AB8)</f>
        <v>9.5</v>
      </c>
      <c r="AC9" s="24" t="n">
        <f aca="false">MAX(0,AC7-AC8)</f>
        <v>9.75</v>
      </c>
      <c r="AD9" s="24" t="n">
        <f aca="false">MAX(0,AD7-AD8)</f>
        <v>10</v>
      </c>
      <c r="AE9" s="24" t="n">
        <f aca="false">MAX(0,AE7-AE8)</f>
        <v>10.25</v>
      </c>
      <c r="AF9" s="24" t="n">
        <f aca="false">MAX(0,AF7-AF8)</f>
        <v>10.5</v>
      </c>
      <c r="AG9" s="24" t="n">
        <f aca="false">MAX(0,AG7-AG8)</f>
        <v>10.75</v>
      </c>
      <c r="AH9" s="24" t="n">
        <f aca="false">MAX(0,AH7-AH8)</f>
        <v>6</v>
      </c>
      <c r="AI9" s="24" t="n">
        <f aca="false">MAX(0,AI7-AI8)</f>
        <v>6</v>
      </c>
      <c r="AJ9" s="24" t="n">
        <f aca="false">MAX(0,AJ7-AJ8)</f>
        <v>6</v>
      </c>
      <c r="AK9" s="24" t="n">
        <f aca="false">MAX(0,AK7-AK8)</f>
        <v>6</v>
      </c>
      <c r="AL9" s="24" t="n">
        <f aca="false">MAX(0,AL7-AL8)</f>
        <v>6</v>
      </c>
      <c r="AM9" s="24" t="n">
        <f aca="false">MAX(0,AM7-AM8)</f>
        <v>6</v>
      </c>
      <c r="AN9" s="3"/>
    </row>
    <row r="10" customFormat="false" ht="24" hidden="false" customHeight="true" outlineLevel="0" collapsed="false">
      <c r="A10" s="1"/>
      <c r="B10" s="1"/>
      <c r="C10" s="8" t="s">
        <v>167</v>
      </c>
      <c r="D10" s="11" t="n">
        <f aca="false">IF(D$5&lt;=假设!$D$25+1,0,D9*假设!$D$20)</f>
        <v>0</v>
      </c>
      <c r="E10" s="11" t="n">
        <f aca="false">IF(E$5&lt;=假设!$D$25+1,0,E9*假设!$D$20)</f>
        <v>0</v>
      </c>
      <c r="F10" s="11" t="n">
        <f aca="false">IF(F$5&lt;=假设!$D$25+1,0,F9*假设!$D$20)</f>
        <v>0</v>
      </c>
      <c r="G10" s="11" t="n">
        <f aca="false">IF(G$5&lt;=假设!$D$25+1,0,G9*假设!$D$20)</f>
        <v>0</v>
      </c>
      <c r="H10" s="11" t="n">
        <f aca="false">IF(H$5&lt;=假设!$D$25+1,0,H9*假设!$D$20)</f>
        <v>0</v>
      </c>
      <c r="I10" s="11" t="n">
        <f aca="false">IF(I$5&lt;=假设!$D$25+1,0,I9*假设!$D$20)</f>
        <v>6450</v>
      </c>
      <c r="J10" s="11" t="n">
        <f aca="false">IF(J$5&lt;=假设!$D$25+1,0,J9*假设!$D$20)</f>
        <v>6750</v>
      </c>
      <c r="K10" s="11" t="n">
        <f aca="false">IF(K$5&lt;=假设!$D$25+1,0,K9*假设!$D$20)</f>
        <v>7050</v>
      </c>
      <c r="L10" s="11" t="n">
        <f aca="false">IF(L$5&lt;=假设!$D$25+1,0,L9*假设!$D$20)</f>
        <v>7350</v>
      </c>
      <c r="M10" s="11" t="n">
        <f aca="false">IF(M$5&lt;=假设!$D$25+1,0,M9*假设!$D$20)</f>
        <v>7650</v>
      </c>
      <c r="N10" s="11" t="n">
        <f aca="false">IF(N$5&lt;=假设!$D$25+1,0,N9*假设!$D$20)</f>
        <v>7950</v>
      </c>
      <c r="O10" s="11" t="n">
        <f aca="false">IF(O$5&lt;=假设!$D$25+1,0,O9*假设!$D$20)</f>
        <v>8250</v>
      </c>
      <c r="P10" s="11" t="n">
        <f aca="false">IF(P$5&lt;=假设!$D$25+1,0,P9*假设!$D$20)</f>
        <v>8550</v>
      </c>
      <c r="Q10" s="11" t="n">
        <f aca="false">IF(Q$5&lt;=假设!$D$25+1,0,Q9*假设!$D$20)</f>
        <v>8850</v>
      </c>
      <c r="R10" s="11" t="n">
        <f aca="false">IF(R$5&lt;=假设!$D$25+1,0,R9*假设!$D$20)</f>
        <v>9150</v>
      </c>
      <c r="S10" s="11" t="n">
        <f aca="false">IF(S$5&lt;=假设!$D$25+1,0,S9*假设!$D$20)</f>
        <v>9450.00000000001</v>
      </c>
      <c r="T10" s="11" t="n">
        <f aca="false">IF(T$5&lt;=假设!$D$25+1,0,T9*假设!$D$20)</f>
        <v>11250</v>
      </c>
      <c r="U10" s="11" t="n">
        <f aca="false">IF(U$5&lt;=假设!$D$25+1,0,U9*假设!$D$20)</f>
        <v>11625</v>
      </c>
      <c r="V10" s="11" t="n">
        <f aca="false">IF(V$5&lt;=假设!$D$25+1,0,V9*假设!$D$20)</f>
        <v>12000</v>
      </c>
      <c r="W10" s="11" t="n">
        <f aca="false">IF(W$5&lt;=假设!$D$25+1,0,W9*假设!$D$20)</f>
        <v>12375</v>
      </c>
      <c r="X10" s="11" t="n">
        <f aca="false">IF(X$5&lt;=假设!$D$25+1,0,X9*假设!$D$20)</f>
        <v>12750</v>
      </c>
      <c r="Y10" s="11" t="n">
        <f aca="false">IF(Y$5&lt;=假设!$D$25+1,0,Y9*假设!$D$20)</f>
        <v>13125</v>
      </c>
      <c r="Z10" s="11" t="n">
        <f aca="false">IF(Z$5&lt;=假设!$D$25+1,0,Z9*假设!$D$20)</f>
        <v>13500</v>
      </c>
      <c r="AA10" s="11" t="n">
        <f aca="false">IF(AA$5&lt;=假设!$D$25+1,0,AA9*假设!$D$20)</f>
        <v>13875</v>
      </c>
      <c r="AB10" s="11" t="n">
        <f aca="false">IF(AB$5&lt;=假设!$D$25+1,0,AB9*假设!$D$20)</f>
        <v>14250</v>
      </c>
      <c r="AC10" s="11" t="n">
        <f aca="false">IF(AC$5&lt;=假设!$D$25+1,0,AC9*假设!$D$20)</f>
        <v>14625</v>
      </c>
      <c r="AD10" s="11" t="n">
        <f aca="false">IF(AD$5&lt;=假设!$D$25+1,0,AD9*假设!$D$20)</f>
        <v>15000</v>
      </c>
      <c r="AE10" s="11" t="n">
        <f aca="false">IF(AE$5&lt;=假设!$D$25+1,0,AE9*假设!$D$20)</f>
        <v>15375</v>
      </c>
      <c r="AF10" s="11" t="n">
        <f aca="false">IF(AF$5&lt;=假设!$D$25+1,0,AF9*假设!$D$20)</f>
        <v>15750</v>
      </c>
      <c r="AG10" s="11" t="n">
        <f aca="false">IF(AG$5&lt;=假设!$D$25+1,0,AG9*假设!$D$20)</f>
        <v>16125</v>
      </c>
      <c r="AH10" s="11" t="n">
        <f aca="false">IF(AH$5&lt;=假设!$D$25+1,0,AH9*假设!$D$20)</f>
        <v>9000</v>
      </c>
      <c r="AI10" s="11" t="n">
        <f aca="false">IF(AI$5&lt;=假设!$D$25+1,0,AI9*假设!$D$20)</f>
        <v>9000</v>
      </c>
      <c r="AJ10" s="11" t="n">
        <f aca="false">IF(AJ$5&lt;=假设!$D$25+1,0,AJ9*假设!$D$20)</f>
        <v>9000</v>
      </c>
      <c r="AK10" s="11" t="n">
        <f aca="false">IF(AK$5&lt;=假设!$D$25+1,0,AK9*假设!$D$20)</f>
        <v>9000</v>
      </c>
      <c r="AL10" s="11" t="n">
        <f aca="false">IF(AL$5&lt;=假设!$D$25+1,0,AL9*假设!$D$20)</f>
        <v>9000</v>
      </c>
      <c r="AM10" s="11" t="n">
        <f aca="false">IF(AM$5&lt;=假设!$D$25+1,0,AM9*假设!$D$20)</f>
        <v>9000</v>
      </c>
      <c r="AN10" s="3"/>
    </row>
    <row r="11" customFormat="false" ht="24" hidden="false" customHeight="true" outlineLevel="0" collapsed="false">
      <c r="A11" s="1"/>
      <c r="B11" s="1"/>
      <c r="C11" s="8" t="s">
        <v>168</v>
      </c>
      <c r="D11" s="11" t="n">
        <f aca="false">D6*单位经济!$D$10</f>
        <v>0</v>
      </c>
      <c r="E11" s="11" t="n">
        <f aca="false">E6*单位经济!$D$10</f>
        <v>0</v>
      </c>
      <c r="F11" s="11" t="n">
        <f aca="false">F6*单位经济!$D$10</f>
        <v>0</v>
      </c>
      <c r="G11" s="11" t="n">
        <f aca="false">G6*单位经济!$D$10</f>
        <v>0</v>
      </c>
      <c r="H11" s="11" t="n">
        <f aca="false">H6*单位经济!$D$10</f>
        <v>24000000</v>
      </c>
      <c r="I11" s="11" t="n">
        <f aca="false">I6*单位经济!$D$10</f>
        <v>40000000</v>
      </c>
      <c r="J11" s="11" t="n">
        <f aca="false">J6*单位经济!$D$10</f>
        <v>56000000</v>
      </c>
      <c r="K11" s="11" t="n">
        <f aca="false">K6*单位经济!$D$10</f>
        <v>72000000</v>
      </c>
      <c r="L11" s="11" t="n">
        <f aca="false">L6*单位经济!$D$10</f>
        <v>88000000</v>
      </c>
      <c r="M11" s="11" t="n">
        <f aca="false">M6*单位经济!$D$10</f>
        <v>104000000</v>
      </c>
      <c r="N11" s="11" t="n">
        <f aca="false">N6*单位经济!$D$10</f>
        <v>120000000</v>
      </c>
      <c r="O11" s="11" t="n">
        <f aca="false">O6*单位经济!$D$10</f>
        <v>136000000</v>
      </c>
      <c r="P11" s="11" t="n">
        <f aca="false">P6*单位经济!$D$10</f>
        <v>152000000</v>
      </c>
      <c r="Q11" s="11" t="n">
        <f aca="false">Q6*单位经济!$D$10</f>
        <v>168000000</v>
      </c>
      <c r="R11" s="11" t="n">
        <f aca="false">R6*单位经济!$D$10</f>
        <v>184000000</v>
      </c>
      <c r="S11" s="11" t="n">
        <f aca="false">S6*单位经济!$D$10</f>
        <v>200000000</v>
      </c>
      <c r="T11" s="11" t="n">
        <f aca="false">T6*单位经济!$D$10</f>
        <v>220000000</v>
      </c>
      <c r="U11" s="11" t="n">
        <f aca="false">U6*单位经济!$D$10</f>
        <v>240000000</v>
      </c>
      <c r="V11" s="11" t="n">
        <f aca="false">V6*单位经济!$D$10</f>
        <v>260000000</v>
      </c>
      <c r="W11" s="11" t="n">
        <f aca="false">W6*单位经济!$D$10</f>
        <v>280000000</v>
      </c>
      <c r="X11" s="11" t="n">
        <f aca="false">X6*单位经济!$D$10</f>
        <v>300000000</v>
      </c>
      <c r="Y11" s="11" t="n">
        <f aca="false">Y6*单位经济!$D$10</f>
        <v>320000000</v>
      </c>
      <c r="Z11" s="11" t="n">
        <f aca="false">Z6*单位经济!$D$10</f>
        <v>340000000</v>
      </c>
      <c r="AA11" s="11" t="n">
        <f aca="false">AA6*单位经济!$D$10</f>
        <v>360000000</v>
      </c>
      <c r="AB11" s="11" t="n">
        <f aca="false">AB6*单位经济!$D$10</f>
        <v>380000000</v>
      </c>
      <c r="AC11" s="11" t="n">
        <f aca="false">AC6*单位经济!$D$10</f>
        <v>400000000</v>
      </c>
      <c r="AD11" s="11" t="n">
        <f aca="false">AD6*单位经济!$D$10</f>
        <v>420000000</v>
      </c>
      <c r="AE11" s="11" t="n">
        <f aca="false">AE6*单位经济!$D$10</f>
        <v>440000000</v>
      </c>
      <c r="AF11" s="11" t="n">
        <f aca="false">AF6*单位经济!$D$10</f>
        <v>460000000</v>
      </c>
      <c r="AG11" s="11" t="n">
        <f aca="false">AG6*单位经济!$D$10</f>
        <v>480000000</v>
      </c>
      <c r="AH11" s="11" t="n">
        <f aca="false">AH6*单位经济!$D$10</f>
        <v>480000000</v>
      </c>
      <c r="AI11" s="11" t="n">
        <f aca="false">AI6*单位经济!$D$10</f>
        <v>480000000</v>
      </c>
      <c r="AJ11" s="11" t="n">
        <f aca="false">AJ6*单位经济!$D$10</f>
        <v>480000000</v>
      </c>
      <c r="AK11" s="11" t="n">
        <f aca="false">AK6*单位经济!$D$10</f>
        <v>480000000</v>
      </c>
      <c r="AL11" s="11" t="n">
        <f aca="false">AL6*单位经济!$D$10</f>
        <v>480000000</v>
      </c>
      <c r="AM11" s="11" t="n">
        <f aca="false">AM6*单位经济!$D$10</f>
        <v>480000000</v>
      </c>
      <c r="AN11" s="3"/>
    </row>
    <row r="12" customFormat="false" ht="24" hidden="false" customHeight="true" outlineLevel="0" collapsed="false">
      <c r="A12" s="1"/>
      <c r="B12" s="1"/>
      <c r="C12" s="8" t="s">
        <v>169</v>
      </c>
      <c r="D12" s="11" t="n">
        <f aca="false">D6*假设!$D$6</f>
        <v>0</v>
      </c>
      <c r="E12" s="11" t="n">
        <f aca="false">E6*假设!$D$6</f>
        <v>0</v>
      </c>
      <c r="F12" s="11" t="n">
        <f aca="false">F6*假设!$D$6</f>
        <v>0</v>
      </c>
      <c r="G12" s="11" t="n">
        <f aca="false">G6*假设!$D$6</f>
        <v>0</v>
      </c>
      <c r="H12" s="11" t="n">
        <f aca="false">H6*假设!$D$6</f>
        <v>120000</v>
      </c>
      <c r="I12" s="11" t="n">
        <f aca="false">I6*假设!$D$6</f>
        <v>200000</v>
      </c>
      <c r="J12" s="11" t="n">
        <f aca="false">J6*假设!$D$6</f>
        <v>280000</v>
      </c>
      <c r="K12" s="11" t="n">
        <f aca="false">K6*假设!$D$6</f>
        <v>360000</v>
      </c>
      <c r="L12" s="11" t="n">
        <f aca="false">L6*假设!$D$6</f>
        <v>440000</v>
      </c>
      <c r="M12" s="11" t="n">
        <f aca="false">M6*假设!$D$6</f>
        <v>520000</v>
      </c>
      <c r="N12" s="11" t="n">
        <f aca="false">N6*假设!$D$6</f>
        <v>600000</v>
      </c>
      <c r="O12" s="11" t="n">
        <f aca="false">O6*假设!$D$6</f>
        <v>680000</v>
      </c>
      <c r="P12" s="11" t="n">
        <f aca="false">P6*假设!$D$6</f>
        <v>760000</v>
      </c>
      <c r="Q12" s="11" t="n">
        <f aca="false">Q6*假设!$D$6</f>
        <v>840000</v>
      </c>
      <c r="R12" s="11" t="n">
        <f aca="false">R6*假设!$D$6</f>
        <v>920000</v>
      </c>
      <c r="S12" s="11" t="n">
        <f aca="false">S6*假设!$D$6</f>
        <v>1000000</v>
      </c>
      <c r="T12" s="11" t="n">
        <f aca="false">T6*假设!$D$6</f>
        <v>1100000</v>
      </c>
      <c r="U12" s="11" t="n">
        <f aca="false">U6*假设!$D$6</f>
        <v>1200000</v>
      </c>
      <c r="V12" s="11" t="n">
        <f aca="false">V6*假设!$D$6</f>
        <v>1300000</v>
      </c>
      <c r="W12" s="11" t="n">
        <f aca="false">W6*假设!$D$6</f>
        <v>1400000</v>
      </c>
      <c r="X12" s="11" t="n">
        <f aca="false">X6*假设!$D$6</f>
        <v>1500000</v>
      </c>
      <c r="Y12" s="11" t="n">
        <f aca="false">Y6*假设!$D$6</f>
        <v>1600000</v>
      </c>
      <c r="Z12" s="11" t="n">
        <f aca="false">Z6*假设!$D$6</f>
        <v>1700000</v>
      </c>
      <c r="AA12" s="11" t="n">
        <f aca="false">AA6*假设!$D$6</f>
        <v>1800000</v>
      </c>
      <c r="AB12" s="11" t="n">
        <f aca="false">AB6*假设!$D$6</f>
        <v>1900000</v>
      </c>
      <c r="AC12" s="11" t="n">
        <f aca="false">AC6*假设!$D$6</f>
        <v>2000000</v>
      </c>
      <c r="AD12" s="11" t="n">
        <f aca="false">AD6*假设!$D$6</f>
        <v>2100000</v>
      </c>
      <c r="AE12" s="11" t="n">
        <f aca="false">AE6*假设!$D$6</f>
        <v>2200000</v>
      </c>
      <c r="AF12" s="11" t="n">
        <f aca="false">AF6*假设!$D$6</f>
        <v>2300000</v>
      </c>
      <c r="AG12" s="11" t="n">
        <f aca="false">AG6*假设!$D$6</f>
        <v>2400000</v>
      </c>
      <c r="AH12" s="11" t="n">
        <f aca="false">AH6*假设!$D$6</f>
        <v>2400000</v>
      </c>
      <c r="AI12" s="11" t="n">
        <f aca="false">AI6*假设!$D$6</f>
        <v>2400000</v>
      </c>
      <c r="AJ12" s="11" t="n">
        <f aca="false">AJ6*假设!$D$6</f>
        <v>2400000</v>
      </c>
      <c r="AK12" s="11" t="n">
        <f aca="false">AK6*假设!$D$6</f>
        <v>2400000</v>
      </c>
      <c r="AL12" s="11" t="n">
        <f aca="false">AL6*假设!$D$6</f>
        <v>2400000</v>
      </c>
      <c r="AM12" s="11" t="n">
        <f aca="false">AM6*假设!$D$6</f>
        <v>2400000</v>
      </c>
      <c r="AN12" s="3"/>
    </row>
    <row r="13" customFormat="false" ht="24" hidden="false" customHeight="true" outlineLevel="0" collapsed="false">
      <c r="A13" s="1"/>
      <c r="B13" s="1"/>
      <c r="C13" s="8" t="s">
        <v>170</v>
      </c>
      <c r="D13" s="2" t="n">
        <f aca="false">D12+D14</f>
        <v>0</v>
      </c>
      <c r="E13" s="2" t="n">
        <f aca="false">E12+E14</f>
        <v>0</v>
      </c>
      <c r="F13" s="2" t="n">
        <f aca="false">F12+F14</f>
        <v>0</v>
      </c>
      <c r="G13" s="2" t="n">
        <f aca="false">G12+G14</f>
        <v>0</v>
      </c>
      <c r="H13" s="2" t="n">
        <f aca="false">H12+H14</f>
        <v>138000</v>
      </c>
      <c r="I13" s="2" t="n">
        <f aca="false">I12+I14</f>
        <v>230000</v>
      </c>
      <c r="J13" s="2" t="n">
        <f aca="false">J12+J14</f>
        <v>322000</v>
      </c>
      <c r="K13" s="2" t="n">
        <f aca="false">K12+K14</f>
        <v>414000</v>
      </c>
      <c r="L13" s="2" t="n">
        <f aca="false">L12+L14</f>
        <v>506000</v>
      </c>
      <c r="M13" s="2" t="n">
        <f aca="false">M12+M14</f>
        <v>598000</v>
      </c>
      <c r="N13" s="2" t="n">
        <f aca="false">N12+N14</f>
        <v>690000</v>
      </c>
      <c r="O13" s="2" t="n">
        <f aca="false">O12+O14</f>
        <v>782000</v>
      </c>
      <c r="P13" s="2" t="n">
        <f aca="false">P12+P14</f>
        <v>874000</v>
      </c>
      <c r="Q13" s="2" t="n">
        <f aca="false">Q12+Q14</f>
        <v>966000</v>
      </c>
      <c r="R13" s="2" t="n">
        <f aca="false">R12+R14</f>
        <v>1058000</v>
      </c>
      <c r="S13" s="2" t="n">
        <f aca="false">S12+S14</f>
        <v>1150000</v>
      </c>
      <c r="T13" s="2" t="n">
        <f aca="false">T12+T14</f>
        <v>1265000</v>
      </c>
      <c r="U13" s="2" t="n">
        <f aca="false">U12+U14</f>
        <v>1380000</v>
      </c>
      <c r="V13" s="2" t="n">
        <f aca="false">V12+V14</f>
        <v>1495000</v>
      </c>
      <c r="W13" s="2" t="n">
        <f aca="false">W12+W14</f>
        <v>1610000</v>
      </c>
      <c r="X13" s="2" t="n">
        <f aca="false">X12+X14</f>
        <v>1725000</v>
      </c>
      <c r="Y13" s="2" t="n">
        <f aca="false">Y12+Y14</f>
        <v>1840000</v>
      </c>
      <c r="Z13" s="2" t="n">
        <f aca="false">Z12+Z14</f>
        <v>1955000</v>
      </c>
      <c r="AA13" s="2" t="n">
        <f aca="false">AA12+AA14</f>
        <v>2070000</v>
      </c>
      <c r="AB13" s="2" t="n">
        <f aca="false">AB12+AB14</f>
        <v>2185000</v>
      </c>
      <c r="AC13" s="2" t="n">
        <f aca="false">AC12+AC14</f>
        <v>2300000</v>
      </c>
      <c r="AD13" s="2" t="n">
        <f aca="false">AD12+AD14</f>
        <v>2415000</v>
      </c>
      <c r="AE13" s="2" t="n">
        <f aca="false">AE12+AE14</f>
        <v>2530000</v>
      </c>
      <c r="AF13" s="2" t="n">
        <f aca="false">AF12+AF14</f>
        <v>2645000</v>
      </c>
      <c r="AG13" s="2" t="n">
        <f aca="false">AG12+AG14</f>
        <v>2760000</v>
      </c>
      <c r="AH13" s="2" t="n">
        <f aca="false">AH12+AH14</f>
        <v>2760000</v>
      </c>
      <c r="AI13" s="2" t="n">
        <f aca="false">AI12+AI14</f>
        <v>2760000</v>
      </c>
      <c r="AJ13" s="2" t="n">
        <f aca="false">AJ12+AJ14</f>
        <v>2760000</v>
      </c>
      <c r="AK13" s="2" t="n">
        <f aca="false">AK12+AK14</f>
        <v>2760000</v>
      </c>
      <c r="AL13" s="2" t="n">
        <f aca="false">AL12+AL14</f>
        <v>2760000</v>
      </c>
      <c r="AM13" s="2" t="n">
        <f aca="false">AM12+AM14</f>
        <v>2760000</v>
      </c>
      <c r="AN13" s="3"/>
    </row>
    <row r="14" customFormat="false" ht="24" hidden="false" customHeight="true" outlineLevel="0" collapsed="false">
      <c r="A14" s="1"/>
      <c r="B14" s="1"/>
      <c r="C14" s="25" t="s">
        <v>171</v>
      </c>
      <c r="D14" s="26" t="n">
        <f aca="false">D6*单位经济!$D$6</f>
        <v>0</v>
      </c>
      <c r="E14" s="26" t="n">
        <f aca="false">E6*单位经济!$D$6</f>
        <v>0</v>
      </c>
      <c r="F14" s="26" t="n">
        <f aca="false">F6*单位经济!$D$6</f>
        <v>0</v>
      </c>
      <c r="G14" s="26" t="n">
        <f aca="false">G6*单位经济!$D$6</f>
        <v>0</v>
      </c>
      <c r="H14" s="26" t="n">
        <f aca="false">H6*单位经济!$D$6</f>
        <v>18000</v>
      </c>
      <c r="I14" s="26" t="n">
        <f aca="false">I6*单位经济!$D$6</f>
        <v>30000</v>
      </c>
      <c r="J14" s="26" t="n">
        <f aca="false">J6*单位经济!$D$6</f>
        <v>42000</v>
      </c>
      <c r="K14" s="26" t="n">
        <f aca="false">K6*单位经济!$D$6</f>
        <v>54000</v>
      </c>
      <c r="L14" s="26" t="n">
        <f aca="false">L6*单位经济!$D$6</f>
        <v>66000</v>
      </c>
      <c r="M14" s="26" t="n">
        <f aca="false">M6*单位经济!$D$6</f>
        <v>78000</v>
      </c>
      <c r="N14" s="26" t="n">
        <f aca="false">N6*单位经济!$D$6</f>
        <v>90000</v>
      </c>
      <c r="O14" s="26" t="n">
        <f aca="false">O6*单位经济!$D$6</f>
        <v>102000</v>
      </c>
      <c r="P14" s="26" t="n">
        <f aca="false">P6*单位经济!$D$6</f>
        <v>114000</v>
      </c>
      <c r="Q14" s="26" t="n">
        <f aca="false">Q6*单位经济!$D$6</f>
        <v>126000</v>
      </c>
      <c r="R14" s="26" t="n">
        <f aca="false">R6*单位经济!$D$6</f>
        <v>138000</v>
      </c>
      <c r="S14" s="26" t="n">
        <f aca="false">S6*单位经济!$D$6</f>
        <v>150000</v>
      </c>
      <c r="T14" s="26" t="n">
        <f aca="false">T6*单位经济!$D$6</f>
        <v>165000</v>
      </c>
      <c r="U14" s="26" t="n">
        <f aca="false">U6*单位经济!$D$6</f>
        <v>180000</v>
      </c>
      <c r="V14" s="26" t="n">
        <f aca="false">V6*单位经济!$D$6</f>
        <v>195000</v>
      </c>
      <c r="W14" s="26" t="n">
        <f aca="false">W6*单位经济!$D$6</f>
        <v>210000</v>
      </c>
      <c r="X14" s="26" t="n">
        <f aca="false">X6*单位经济!$D$6</f>
        <v>225000</v>
      </c>
      <c r="Y14" s="26" t="n">
        <f aca="false">Y6*单位经济!$D$6</f>
        <v>240000</v>
      </c>
      <c r="Z14" s="26" t="n">
        <f aca="false">Z6*单位经济!$D$6</f>
        <v>255000</v>
      </c>
      <c r="AA14" s="26" t="n">
        <f aca="false">AA6*单位经济!$D$6</f>
        <v>270000</v>
      </c>
      <c r="AB14" s="26" t="n">
        <f aca="false">AB6*单位经济!$D$6</f>
        <v>285000</v>
      </c>
      <c r="AC14" s="26" t="n">
        <f aca="false">AC6*单位经济!$D$6</f>
        <v>300000</v>
      </c>
      <c r="AD14" s="26" t="n">
        <f aca="false">AD6*单位经济!$D$6</f>
        <v>315000</v>
      </c>
      <c r="AE14" s="26" t="n">
        <f aca="false">AE6*单位经济!$D$6</f>
        <v>330000</v>
      </c>
      <c r="AF14" s="26" t="n">
        <f aca="false">AF6*单位经济!$D$6</f>
        <v>345000</v>
      </c>
      <c r="AG14" s="26" t="n">
        <f aca="false">AG6*单位经济!$D$6</f>
        <v>360000</v>
      </c>
      <c r="AH14" s="26" t="n">
        <f aca="false">AH6*单位经济!$D$6</f>
        <v>360000</v>
      </c>
      <c r="AI14" s="26" t="n">
        <f aca="false">AI6*单位经济!$D$6</f>
        <v>360000</v>
      </c>
      <c r="AJ14" s="26" t="n">
        <f aca="false">AJ6*单位经济!$D$6</f>
        <v>360000</v>
      </c>
      <c r="AK14" s="26" t="n">
        <f aca="false">AK6*单位经济!$D$6</f>
        <v>360000</v>
      </c>
      <c r="AL14" s="26" t="n">
        <f aca="false">AL6*单位经济!$D$6</f>
        <v>360000</v>
      </c>
      <c r="AM14" s="26" t="n">
        <f aca="false">AM6*单位经济!$D$6</f>
        <v>360000</v>
      </c>
      <c r="AN14" s="3"/>
    </row>
    <row r="15" customFormat="false" ht="24" hidden="false" customHeight="true" outlineLevel="0" collapsed="false">
      <c r="A15" s="1"/>
      <c r="B15" s="1"/>
      <c r="C15" s="8" t="s">
        <v>172</v>
      </c>
      <c r="D15" s="11" t="n">
        <f aca="false">D6*单位经济!$D$11</f>
        <v>0</v>
      </c>
      <c r="E15" s="11" t="n">
        <f aca="false">E6*单位经济!$D$11</f>
        <v>0</v>
      </c>
      <c r="F15" s="11" t="n">
        <f aca="false">F6*单位经济!$D$11</f>
        <v>0</v>
      </c>
      <c r="G15" s="11" t="n">
        <f aca="false">G6*单位经济!$D$11</f>
        <v>0</v>
      </c>
      <c r="H15" s="11" t="n">
        <f aca="false">H6*单位经济!$D$11</f>
        <v>7200</v>
      </c>
      <c r="I15" s="11" t="n">
        <f aca="false">I6*单位经济!$D$11</f>
        <v>12000</v>
      </c>
      <c r="J15" s="11" t="n">
        <f aca="false">J6*单位经济!$D$11</f>
        <v>16800</v>
      </c>
      <c r="K15" s="11" t="n">
        <f aca="false">K6*单位经济!$D$11</f>
        <v>21600</v>
      </c>
      <c r="L15" s="11" t="n">
        <f aca="false">L6*单位经济!$D$11</f>
        <v>26400</v>
      </c>
      <c r="M15" s="11" t="n">
        <f aca="false">M6*单位经济!$D$11</f>
        <v>31200</v>
      </c>
      <c r="N15" s="11" t="n">
        <f aca="false">N6*单位经济!$D$11</f>
        <v>36000</v>
      </c>
      <c r="O15" s="11" t="n">
        <f aca="false">O6*单位经济!$D$11</f>
        <v>40800</v>
      </c>
      <c r="P15" s="11" t="n">
        <f aca="false">P6*单位经济!$D$11</f>
        <v>45600</v>
      </c>
      <c r="Q15" s="11" t="n">
        <f aca="false">Q6*单位经济!$D$11</f>
        <v>50400</v>
      </c>
      <c r="R15" s="11" t="n">
        <f aca="false">R6*单位经济!$D$11</f>
        <v>55200</v>
      </c>
      <c r="S15" s="11" t="n">
        <f aca="false">S6*单位经济!$D$11</f>
        <v>60000</v>
      </c>
      <c r="T15" s="11" t="n">
        <f aca="false">T6*单位经济!$D$11</f>
        <v>66000</v>
      </c>
      <c r="U15" s="11" t="n">
        <f aca="false">U6*单位经济!$D$11</f>
        <v>72000</v>
      </c>
      <c r="V15" s="11" t="n">
        <f aca="false">V6*单位经济!$D$11</f>
        <v>78000</v>
      </c>
      <c r="W15" s="11" t="n">
        <f aca="false">W6*单位经济!$D$11</f>
        <v>84000</v>
      </c>
      <c r="X15" s="11" t="n">
        <f aca="false">X6*单位经济!$D$11</f>
        <v>90000</v>
      </c>
      <c r="Y15" s="11" t="n">
        <f aca="false">Y6*单位经济!$D$11</f>
        <v>96000</v>
      </c>
      <c r="Z15" s="11" t="n">
        <f aca="false">Z6*单位经济!$D$11</f>
        <v>102000</v>
      </c>
      <c r="AA15" s="11" t="n">
        <f aca="false">AA6*单位经济!$D$11</f>
        <v>108000</v>
      </c>
      <c r="AB15" s="11" t="n">
        <f aca="false">AB6*单位经济!$D$11</f>
        <v>114000</v>
      </c>
      <c r="AC15" s="11" t="n">
        <f aca="false">AC6*单位经济!$D$11</f>
        <v>120000</v>
      </c>
      <c r="AD15" s="11" t="n">
        <f aca="false">AD6*单位经济!$D$11</f>
        <v>126000</v>
      </c>
      <c r="AE15" s="11" t="n">
        <f aca="false">AE6*单位经济!$D$11</f>
        <v>132000</v>
      </c>
      <c r="AF15" s="11" t="n">
        <f aca="false">AF6*单位经济!$D$11</f>
        <v>138000</v>
      </c>
      <c r="AG15" s="11" t="n">
        <f aca="false">AG6*单位经济!$D$11</f>
        <v>144000</v>
      </c>
      <c r="AH15" s="11" t="n">
        <f aca="false">AH6*单位经济!$D$11</f>
        <v>144000</v>
      </c>
      <c r="AI15" s="11" t="n">
        <f aca="false">AI6*单位经济!$D$11</f>
        <v>144000</v>
      </c>
      <c r="AJ15" s="11" t="n">
        <f aca="false">AJ6*单位经济!$D$11</f>
        <v>144000</v>
      </c>
      <c r="AK15" s="11" t="n">
        <f aca="false">AK6*单位经济!$D$11</f>
        <v>144000</v>
      </c>
      <c r="AL15" s="11" t="n">
        <f aca="false">AL6*单位经济!$D$11</f>
        <v>144000</v>
      </c>
      <c r="AM15" s="11" t="n">
        <f aca="false">AM6*单位经济!$D$11</f>
        <v>144000</v>
      </c>
      <c r="AN15" s="3"/>
    </row>
    <row r="16" customFormat="false" ht="24" hidden="false" customHeight="true" outlineLevel="0" collapsed="false">
      <c r="A16" s="1"/>
      <c r="B16" s="1"/>
      <c r="C16" s="8" t="s">
        <v>173</v>
      </c>
      <c r="D16" s="11" t="n">
        <f aca="false">IF(D$5&gt;假设!$D$25,假设!$D$14,0)</f>
        <v>0</v>
      </c>
      <c r="E16" s="11" t="n">
        <f aca="false">IF(E$5&gt;假设!$D$25,假设!$D$14,0)</f>
        <v>0</v>
      </c>
      <c r="F16" s="11" t="n">
        <f aca="false">IF(F$5&gt;假设!$D$25,假设!$D$14,0)</f>
        <v>0</v>
      </c>
      <c r="G16" s="11" t="n">
        <f aca="false">IF(G$5&gt;假设!$D$25,假设!$D$14,0)</f>
        <v>0</v>
      </c>
      <c r="H16" s="11" t="n">
        <f aca="false">IF(H$5&gt;假设!$D$25,假设!$D$14,0)</f>
        <v>2000</v>
      </c>
      <c r="I16" s="11" t="n">
        <f aca="false">IF(I$5&gt;假设!$D$25,假设!$D$14,0)</f>
        <v>2000</v>
      </c>
      <c r="J16" s="11" t="n">
        <f aca="false">IF(J$5&gt;假设!$D$25,假设!$D$14,0)</f>
        <v>2000</v>
      </c>
      <c r="K16" s="11" t="n">
        <f aca="false">IF(K$5&gt;假设!$D$25,假设!$D$14,0)</f>
        <v>2000</v>
      </c>
      <c r="L16" s="11" t="n">
        <f aca="false">IF(L$5&gt;假设!$D$25,假设!$D$14,0)</f>
        <v>2000</v>
      </c>
      <c r="M16" s="11" t="n">
        <f aca="false">IF(M$5&gt;假设!$D$25,假设!$D$14,0)</f>
        <v>2000</v>
      </c>
      <c r="N16" s="11" t="n">
        <f aca="false">IF(N$5&gt;假设!$D$25,假设!$D$14,0)</f>
        <v>2000</v>
      </c>
      <c r="O16" s="11" t="n">
        <f aca="false">IF(O$5&gt;假设!$D$25,假设!$D$14,0)</f>
        <v>2000</v>
      </c>
      <c r="P16" s="11" t="n">
        <f aca="false">IF(P$5&gt;假设!$D$25,假设!$D$14,0)</f>
        <v>2000</v>
      </c>
      <c r="Q16" s="11" t="n">
        <f aca="false">IF(Q$5&gt;假设!$D$25,假设!$D$14,0)</f>
        <v>2000</v>
      </c>
      <c r="R16" s="11" t="n">
        <f aca="false">IF(R$5&gt;假设!$D$25,假设!$D$14,0)</f>
        <v>2000</v>
      </c>
      <c r="S16" s="11" t="n">
        <f aca="false">IF(S$5&gt;假设!$D$25,假设!$D$14,0)</f>
        <v>2000</v>
      </c>
      <c r="T16" s="11" t="n">
        <f aca="false">IF(T$5&gt;假设!$D$25,假设!$D$14,0)</f>
        <v>2000</v>
      </c>
      <c r="U16" s="11" t="n">
        <f aca="false">IF(U$5&gt;假设!$D$25,假设!$D$14,0)</f>
        <v>2000</v>
      </c>
      <c r="V16" s="11" t="n">
        <f aca="false">IF(V$5&gt;假设!$D$25,假设!$D$14,0)</f>
        <v>2000</v>
      </c>
      <c r="W16" s="11" t="n">
        <f aca="false">IF(W$5&gt;假设!$D$25,假设!$D$14,0)</f>
        <v>2000</v>
      </c>
      <c r="X16" s="11" t="n">
        <f aca="false">IF(X$5&gt;假设!$D$25,假设!$D$14,0)</f>
        <v>2000</v>
      </c>
      <c r="Y16" s="11" t="n">
        <f aca="false">IF(Y$5&gt;假设!$D$25,假设!$D$14,0)</f>
        <v>2000</v>
      </c>
      <c r="Z16" s="11" t="n">
        <f aca="false">IF(Z$5&gt;假设!$D$25,假设!$D$14,0)</f>
        <v>2000</v>
      </c>
      <c r="AA16" s="11" t="n">
        <f aca="false">IF(AA$5&gt;假设!$D$25,假设!$D$14,0)</f>
        <v>2000</v>
      </c>
      <c r="AB16" s="11" t="n">
        <f aca="false">IF(AB$5&gt;假设!$D$25,假设!$D$14,0)</f>
        <v>2000</v>
      </c>
      <c r="AC16" s="11" t="n">
        <f aca="false">IF(AC$5&gt;假设!$D$25,假设!$D$14,0)</f>
        <v>2000</v>
      </c>
      <c r="AD16" s="11" t="n">
        <f aca="false">IF(AD$5&gt;假设!$D$25,假设!$D$14,0)</f>
        <v>2000</v>
      </c>
      <c r="AE16" s="11" t="n">
        <f aca="false">IF(AE$5&gt;假设!$D$25,假设!$D$14,0)</f>
        <v>2000</v>
      </c>
      <c r="AF16" s="11" t="n">
        <f aca="false">IF(AF$5&gt;假设!$D$25,假设!$D$14,0)</f>
        <v>2000</v>
      </c>
      <c r="AG16" s="11" t="n">
        <f aca="false">IF(AG$5&gt;假设!$D$25,假设!$D$14,0)</f>
        <v>2000</v>
      </c>
      <c r="AH16" s="11" t="n">
        <f aca="false">IF(AH$5&gt;假设!$D$25,假设!$D$14,0)</f>
        <v>2000</v>
      </c>
      <c r="AI16" s="11" t="n">
        <f aca="false">IF(AI$5&gt;假设!$D$25,假设!$D$14,0)</f>
        <v>2000</v>
      </c>
      <c r="AJ16" s="11" t="n">
        <f aca="false">IF(AJ$5&gt;假设!$D$25,假设!$D$14,0)</f>
        <v>2000</v>
      </c>
      <c r="AK16" s="11" t="n">
        <f aca="false">IF(AK$5&gt;假设!$D$25,假设!$D$14,0)</f>
        <v>2000</v>
      </c>
      <c r="AL16" s="11" t="n">
        <f aca="false">IF(AL$5&gt;假设!$D$25,假设!$D$14,0)</f>
        <v>2000</v>
      </c>
      <c r="AM16" s="11" t="n">
        <f aca="false">IF(AM$5&gt;假设!$D$25,假设!$D$14,0)</f>
        <v>2000</v>
      </c>
      <c r="AN16" s="3"/>
    </row>
    <row r="17" customFormat="false" ht="24" hidden="false" customHeight="true" outlineLevel="0" collapsed="false">
      <c r="A17" s="1"/>
      <c r="B17" s="1"/>
      <c r="C17" s="8" t="s">
        <v>174</v>
      </c>
      <c r="D17" s="2" t="n">
        <f aca="false">SUM(D15:D16)</f>
        <v>0</v>
      </c>
      <c r="E17" s="2" t="n">
        <f aca="false">SUM(E15:E16)</f>
        <v>0</v>
      </c>
      <c r="F17" s="2" t="n">
        <f aca="false">SUM(F15:F16)</f>
        <v>0</v>
      </c>
      <c r="G17" s="2" t="n">
        <f aca="false">SUM(G15:G16)</f>
        <v>0</v>
      </c>
      <c r="H17" s="2" t="n">
        <f aca="false">SUM(H15:H16)</f>
        <v>9200</v>
      </c>
      <c r="I17" s="2" t="n">
        <f aca="false">SUM(I15:I16)</f>
        <v>14000</v>
      </c>
      <c r="J17" s="2" t="n">
        <f aca="false">SUM(J15:J16)</f>
        <v>18800</v>
      </c>
      <c r="K17" s="2" t="n">
        <f aca="false">SUM(K15:K16)</f>
        <v>23600</v>
      </c>
      <c r="L17" s="2" t="n">
        <f aca="false">SUM(L15:L16)</f>
        <v>28400</v>
      </c>
      <c r="M17" s="2" t="n">
        <f aca="false">SUM(M15:M16)</f>
        <v>33200</v>
      </c>
      <c r="N17" s="2" t="n">
        <f aca="false">SUM(N15:N16)</f>
        <v>38000</v>
      </c>
      <c r="O17" s="2" t="n">
        <f aca="false">SUM(O15:O16)</f>
        <v>42800</v>
      </c>
      <c r="P17" s="2" t="n">
        <f aca="false">SUM(P15:P16)</f>
        <v>47600</v>
      </c>
      <c r="Q17" s="2" t="n">
        <f aca="false">SUM(Q15:Q16)</f>
        <v>52400</v>
      </c>
      <c r="R17" s="2" t="n">
        <f aca="false">SUM(R15:R16)</f>
        <v>57200</v>
      </c>
      <c r="S17" s="2" t="n">
        <f aca="false">SUM(S15:S16)</f>
        <v>62000</v>
      </c>
      <c r="T17" s="2" t="n">
        <f aca="false">SUM(T15:T16)</f>
        <v>68000</v>
      </c>
      <c r="U17" s="2" t="n">
        <f aca="false">SUM(U15:U16)</f>
        <v>74000</v>
      </c>
      <c r="V17" s="2" t="n">
        <f aca="false">SUM(V15:V16)</f>
        <v>80000</v>
      </c>
      <c r="W17" s="2" t="n">
        <f aca="false">SUM(W15:W16)</f>
        <v>86000</v>
      </c>
      <c r="X17" s="2" t="n">
        <f aca="false">SUM(X15:X16)</f>
        <v>92000</v>
      </c>
      <c r="Y17" s="2" t="n">
        <f aca="false">SUM(Y15:Y16)</f>
        <v>98000</v>
      </c>
      <c r="Z17" s="2" t="n">
        <f aca="false">SUM(Z15:Z16)</f>
        <v>104000</v>
      </c>
      <c r="AA17" s="2" t="n">
        <f aca="false">SUM(AA15:AA16)</f>
        <v>110000</v>
      </c>
      <c r="AB17" s="2" t="n">
        <f aca="false">SUM(AB15:AB16)</f>
        <v>116000</v>
      </c>
      <c r="AC17" s="2" t="n">
        <f aca="false">SUM(AC15:AC16)</f>
        <v>122000</v>
      </c>
      <c r="AD17" s="2" t="n">
        <f aca="false">SUM(AD15:AD16)</f>
        <v>128000</v>
      </c>
      <c r="AE17" s="2" t="n">
        <f aca="false">SUM(AE15:AE16)</f>
        <v>134000</v>
      </c>
      <c r="AF17" s="2" t="n">
        <f aca="false">SUM(AF15:AF16)</f>
        <v>140000</v>
      </c>
      <c r="AG17" s="2" t="n">
        <f aca="false">SUM(AG15:AG16)</f>
        <v>146000</v>
      </c>
      <c r="AH17" s="2" t="n">
        <f aca="false">SUM(AH15:AH16)</f>
        <v>146000</v>
      </c>
      <c r="AI17" s="2" t="n">
        <f aca="false">SUM(AI15:AI16)</f>
        <v>146000</v>
      </c>
      <c r="AJ17" s="2" t="n">
        <f aca="false">SUM(AJ15:AJ16)</f>
        <v>146000</v>
      </c>
      <c r="AK17" s="2" t="n">
        <f aca="false">SUM(AK15:AK16)</f>
        <v>146000</v>
      </c>
      <c r="AL17" s="2" t="n">
        <f aca="false">SUM(AL15:AL16)</f>
        <v>146000</v>
      </c>
      <c r="AM17" s="2" t="n">
        <f aca="false">SUM(AM15:AM16)</f>
        <v>146000</v>
      </c>
      <c r="AN17" s="3"/>
    </row>
    <row r="18" customFormat="false" ht="24" hidden="false" customHeight="true" outlineLevel="0" collapsed="false">
      <c r="A18" s="1"/>
      <c r="B18" s="1"/>
      <c r="C18" s="25" t="s">
        <v>148</v>
      </c>
      <c r="D18" s="27" t="n">
        <f aca="false">D14-D17</f>
        <v>0</v>
      </c>
      <c r="E18" s="27" t="n">
        <f aca="false">E14-E17</f>
        <v>0</v>
      </c>
      <c r="F18" s="27" t="n">
        <f aca="false">F14-F17</f>
        <v>0</v>
      </c>
      <c r="G18" s="27" t="n">
        <f aca="false">G14-G17</f>
        <v>0</v>
      </c>
      <c r="H18" s="27" t="n">
        <f aca="false">H14-H17</f>
        <v>8800</v>
      </c>
      <c r="I18" s="27" t="n">
        <f aca="false">I14-I17</f>
        <v>16000</v>
      </c>
      <c r="J18" s="27" t="n">
        <f aca="false">J14-J17</f>
        <v>23200</v>
      </c>
      <c r="K18" s="27" t="n">
        <f aca="false">K14-K17</f>
        <v>30400</v>
      </c>
      <c r="L18" s="27" t="n">
        <f aca="false">L14-L17</f>
        <v>37600</v>
      </c>
      <c r="M18" s="27" t="n">
        <f aca="false">M14-M17</f>
        <v>44800</v>
      </c>
      <c r="N18" s="27" t="n">
        <f aca="false">N14-N17</f>
        <v>52000</v>
      </c>
      <c r="O18" s="27" t="n">
        <f aca="false">O14-O17</f>
        <v>59200</v>
      </c>
      <c r="P18" s="27" t="n">
        <f aca="false">P14-P17</f>
        <v>66400</v>
      </c>
      <c r="Q18" s="27" t="n">
        <f aca="false">Q14-Q17</f>
        <v>73600</v>
      </c>
      <c r="R18" s="27" t="n">
        <f aca="false">R14-R17</f>
        <v>80800</v>
      </c>
      <c r="S18" s="27" t="n">
        <f aca="false">S14-S17</f>
        <v>88000</v>
      </c>
      <c r="T18" s="27" t="n">
        <f aca="false">T14-T17</f>
        <v>97000</v>
      </c>
      <c r="U18" s="27" t="n">
        <f aca="false">U14-U17</f>
        <v>106000</v>
      </c>
      <c r="V18" s="27" t="n">
        <f aca="false">V14-V17</f>
        <v>115000</v>
      </c>
      <c r="W18" s="27" t="n">
        <f aca="false">W14-W17</f>
        <v>124000</v>
      </c>
      <c r="X18" s="27" t="n">
        <f aca="false">X14-X17</f>
        <v>133000</v>
      </c>
      <c r="Y18" s="27" t="n">
        <f aca="false">Y14-Y17</f>
        <v>142000</v>
      </c>
      <c r="Z18" s="27" t="n">
        <f aca="false">Z14-Z17</f>
        <v>151000</v>
      </c>
      <c r="AA18" s="27" t="n">
        <f aca="false">AA14-AA17</f>
        <v>160000</v>
      </c>
      <c r="AB18" s="27" t="n">
        <f aca="false">AB14-AB17</f>
        <v>169000</v>
      </c>
      <c r="AC18" s="27" t="n">
        <f aca="false">AC14-AC17</f>
        <v>178000</v>
      </c>
      <c r="AD18" s="27" t="n">
        <f aca="false">AD14-AD17</f>
        <v>187000</v>
      </c>
      <c r="AE18" s="27" t="n">
        <f aca="false">AE14-AE17</f>
        <v>196000</v>
      </c>
      <c r="AF18" s="27" t="n">
        <f aca="false">AF14-AF17</f>
        <v>205000</v>
      </c>
      <c r="AG18" s="27" t="n">
        <f aca="false">AG14-AG17</f>
        <v>214000</v>
      </c>
      <c r="AH18" s="27" t="n">
        <f aca="false">AH14-AH17</f>
        <v>214000</v>
      </c>
      <c r="AI18" s="27" t="n">
        <f aca="false">AI14-AI17</f>
        <v>214000</v>
      </c>
      <c r="AJ18" s="27" t="n">
        <f aca="false">AJ14-AJ17</f>
        <v>214000</v>
      </c>
      <c r="AK18" s="27" t="n">
        <f aca="false">AK14-AK17</f>
        <v>214000</v>
      </c>
      <c r="AL18" s="27" t="n">
        <f aca="false">AL14-AL17</f>
        <v>214000</v>
      </c>
      <c r="AM18" s="27" t="n">
        <f aca="false">AM14-AM17</f>
        <v>214000</v>
      </c>
      <c r="AN18" s="3"/>
    </row>
    <row r="19" customFormat="false" ht="24" hidden="false" customHeight="true" outlineLevel="0" collapsed="false">
      <c r="A19" s="1"/>
      <c r="B19" s="1"/>
      <c r="C19" s="8" t="s">
        <v>149</v>
      </c>
      <c r="D19" s="10" t="str">
        <f aca="false">IF(D14=0,"不适用",D18/D14)</f>
        <v>不适用</v>
      </c>
      <c r="E19" s="10" t="str">
        <f aca="false">IF(E14=0,"不适用",E18/E14)</f>
        <v>不适用</v>
      </c>
      <c r="F19" s="10" t="str">
        <f aca="false">IF(F14=0,"不适用",F18/F14)</f>
        <v>不适用</v>
      </c>
      <c r="G19" s="10" t="str">
        <f aca="false">IF(G14=0,"不适用",G18/G14)</f>
        <v>不适用</v>
      </c>
      <c r="H19" s="10" t="n">
        <f aca="false">IF(H14=0,"不适用",H18/H14)</f>
        <v>0.488888888888889</v>
      </c>
      <c r="I19" s="10" t="n">
        <f aca="false">IF(I14=0,"不适用",I18/I14)</f>
        <v>0.533333333333333</v>
      </c>
      <c r="J19" s="10" t="n">
        <f aca="false">IF(J14=0,"不适用",J18/J14)</f>
        <v>0.552380952380952</v>
      </c>
      <c r="K19" s="10" t="n">
        <f aca="false">IF(K14=0,"不适用",K18/K14)</f>
        <v>0.562962962962963</v>
      </c>
      <c r="L19" s="10" t="n">
        <f aca="false">IF(L14=0,"不适用",L18/L14)</f>
        <v>0.56969696969697</v>
      </c>
      <c r="M19" s="10" t="n">
        <f aca="false">IF(M14=0,"不适用",M18/M14)</f>
        <v>0.574358974358974</v>
      </c>
      <c r="N19" s="10" t="n">
        <f aca="false">IF(N14=0,"不适用",N18/N14)</f>
        <v>0.577777777777778</v>
      </c>
      <c r="O19" s="10" t="n">
        <f aca="false">IF(O14=0,"不适用",O18/O14)</f>
        <v>0.580392156862745</v>
      </c>
      <c r="P19" s="10" t="n">
        <f aca="false">IF(P14=0,"不适用",P18/P14)</f>
        <v>0.582456140350877</v>
      </c>
      <c r="Q19" s="10" t="n">
        <f aca="false">IF(Q14=0,"不适用",Q18/Q14)</f>
        <v>0.584126984126984</v>
      </c>
      <c r="R19" s="10" t="n">
        <f aca="false">IF(R14=0,"不适用",R18/R14)</f>
        <v>0.585507246376812</v>
      </c>
      <c r="S19" s="10" t="n">
        <f aca="false">IF(S14=0,"不适用",S18/S14)</f>
        <v>0.586666666666667</v>
      </c>
      <c r="T19" s="10" t="n">
        <f aca="false">IF(T14=0,"不适用",T18/T14)</f>
        <v>0.587878787878788</v>
      </c>
      <c r="U19" s="10" t="n">
        <f aca="false">IF(U14=0,"不适用",U18/U14)</f>
        <v>0.588888888888889</v>
      </c>
      <c r="V19" s="10" t="n">
        <f aca="false">IF(V14=0,"不适用",V18/V14)</f>
        <v>0.58974358974359</v>
      </c>
      <c r="W19" s="10" t="n">
        <f aca="false">IF(W14=0,"不适用",W18/W14)</f>
        <v>0.590476190476191</v>
      </c>
      <c r="X19" s="10" t="n">
        <f aca="false">IF(X14=0,"不适用",X18/X14)</f>
        <v>0.591111111111111</v>
      </c>
      <c r="Y19" s="10" t="n">
        <f aca="false">IF(Y14=0,"不适用",Y18/Y14)</f>
        <v>0.591666666666667</v>
      </c>
      <c r="Z19" s="10" t="n">
        <f aca="false">IF(Z14=0,"不适用",Z18/Z14)</f>
        <v>0.592156862745098</v>
      </c>
      <c r="AA19" s="10" t="n">
        <f aca="false">IF(AA14=0,"不适用",AA18/AA14)</f>
        <v>0.592592592592593</v>
      </c>
      <c r="AB19" s="10" t="n">
        <f aca="false">IF(AB14=0,"不适用",AB18/AB14)</f>
        <v>0.592982456140351</v>
      </c>
      <c r="AC19" s="10" t="n">
        <f aca="false">IF(AC14=0,"不适用",AC18/AC14)</f>
        <v>0.593333333333333</v>
      </c>
      <c r="AD19" s="10" t="n">
        <f aca="false">IF(AD14=0,"不适用",AD18/AD14)</f>
        <v>0.593650793650794</v>
      </c>
      <c r="AE19" s="10" t="n">
        <f aca="false">IF(AE14=0,"不适用",AE18/AE14)</f>
        <v>0.593939393939394</v>
      </c>
      <c r="AF19" s="10" t="n">
        <f aca="false">IF(AF14=0,"不适用",AF18/AF14)</f>
        <v>0.594202898550725</v>
      </c>
      <c r="AG19" s="10" t="n">
        <f aca="false">IF(AG14=0,"不适用",AG18/AG14)</f>
        <v>0.594444444444444</v>
      </c>
      <c r="AH19" s="10" t="n">
        <f aca="false">IF(AH14=0,"不适用",AH18/AH14)</f>
        <v>0.594444444444444</v>
      </c>
      <c r="AI19" s="10" t="n">
        <f aca="false">IF(AI14=0,"不适用",AI18/AI14)</f>
        <v>0.594444444444444</v>
      </c>
      <c r="AJ19" s="10" t="n">
        <f aca="false">IF(AJ14=0,"不适用",AJ18/AJ14)</f>
        <v>0.594444444444444</v>
      </c>
      <c r="AK19" s="10" t="n">
        <f aca="false">IF(AK14=0,"不适用",AK18/AK14)</f>
        <v>0.594444444444444</v>
      </c>
      <c r="AL19" s="10" t="n">
        <f aca="false">IF(AL14=0,"不适用",AL18/AL14)</f>
        <v>0.594444444444444</v>
      </c>
      <c r="AM19" s="10" t="n">
        <f aca="false">IF(AM14=0,"不适用",AM18/AM14)</f>
        <v>0.594444444444444</v>
      </c>
      <c r="AN19" s="3"/>
    </row>
    <row r="20" customFormat="false" ht="24" hidden="false" customHeight="true" outlineLevel="0" collapsed="false">
      <c r="A20" s="1"/>
      <c r="B20" s="1"/>
      <c r="C20" s="8" t="s">
        <v>175</v>
      </c>
      <c r="D20" s="11" t="n">
        <f aca="false">D6*假设!$D$13</f>
        <v>0</v>
      </c>
      <c r="E20" s="11" t="n">
        <f aca="false">E6*假设!$D$13</f>
        <v>0</v>
      </c>
      <c r="F20" s="11" t="n">
        <f aca="false">F6*假设!$D$13</f>
        <v>0</v>
      </c>
      <c r="G20" s="11" t="n">
        <f aca="false">G6*假设!$D$13</f>
        <v>0</v>
      </c>
      <c r="H20" s="11" t="n">
        <f aca="false">H6*假设!$D$13</f>
        <v>1800</v>
      </c>
      <c r="I20" s="11" t="n">
        <f aca="false">I6*假设!$D$13</f>
        <v>3000</v>
      </c>
      <c r="J20" s="11" t="n">
        <f aca="false">J6*假设!$D$13</f>
        <v>4200</v>
      </c>
      <c r="K20" s="11" t="n">
        <f aca="false">K6*假设!$D$13</f>
        <v>5400</v>
      </c>
      <c r="L20" s="11" t="n">
        <f aca="false">L6*假设!$D$13</f>
        <v>6600</v>
      </c>
      <c r="M20" s="11" t="n">
        <f aca="false">M6*假设!$D$13</f>
        <v>7800</v>
      </c>
      <c r="N20" s="11" t="n">
        <f aca="false">N6*假设!$D$13</f>
        <v>9000</v>
      </c>
      <c r="O20" s="11" t="n">
        <f aca="false">O6*假设!$D$13</f>
        <v>10200</v>
      </c>
      <c r="P20" s="11" t="n">
        <f aca="false">P6*假设!$D$13</f>
        <v>11400</v>
      </c>
      <c r="Q20" s="11" t="n">
        <f aca="false">Q6*假设!$D$13</f>
        <v>12600</v>
      </c>
      <c r="R20" s="11" t="n">
        <f aca="false">R6*假设!$D$13</f>
        <v>13800</v>
      </c>
      <c r="S20" s="11" t="n">
        <f aca="false">S6*假设!$D$13</f>
        <v>15000</v>
      </c>
      <c r="T20" s="11" t="n">
        <f aca="false">T6*假设!$D$13</f>
        <v>16500</v>
      </c>
      <c r="U20" s="11" t="n">
        <f aca="false">U6*假设!$D$13</f>
        <v>18000</v>
      </c>
      <c r="V20" s="11" t="n">
        <f aca="false">V6*假设!$D$13</f>
        <v>19500</v>
      </c>
      <c r="W20" s="11" t="n">
        <f aca="false">W6*假设!$D$13</f>
        <v>21000</v>
      </c>
      <c r="X20" s="11" t="n">
        <f aca="false">X6*假设!$D$13</f>
        <v>22500</v>
      </c>
      <c r="Y20" s="11" t="n">
        <f aca="false">Y6*假设!$D$13</f>
        <v>24000</v>
      </c>
      <c r="Z20" s="11" t="n">
        <f aca="false">Z6*假设!$D$13</f>
        <v>25500</v>
      </c>
      <c r="AA20" s="11" t="n">
        <f aca="false">AA6*假设!$D$13</f>
        <v>27000</v>
      </c>
      <c r="AB20" s="11" t="n">
        <f aca="false">AB6*假设!$D$13</f>
        <v>28500</v>
      </c>
      <c r="AC20" s="11" t="n">
        <f aca="false">AC6*假设!$D$13</f>
        <v>30000</v>
      </c>
      <c r="AD20" s="11" t="n">
        <f aca="false">AD6*假设!$D$13</f>
        <v>31500</v>
      </c>
      <c r="AE20" s="11" t="n">
        <f aca="false">AE6*假设!$D$13</f>
        <v>33000</v>
      </c>
      <c r="AF20" s="11" t="n">
        <f aca="false">AF6*假设!$D$13</f>
        <v>34500</v>
      </c>
      <c r="AG20" s="11" t="n">
        <f aca="false">AG6*假设!$D$13</f>
        <v>36000</v>
      </c>
      <c r="AH20" s="11" t="n">
        <f aca="false">AH6*假设!$D$13</f>
        <v>36000</v>
      </c>
      <c r="AI20" s="11" t="n">
        <f aca="false">AI6*假设!$D$13</f>
        <v>36000</v>
      </c>
      <c r="AJ20" s="11" t="n">
        <f aca="false">AJ6*假设!$D$13</f>
        <v>36000</v>
      </c>
      <c r="AK20" s="11" t="n">
        <f aca="false">AK6*假设!$D$13</f>
        <v>36000</v>
      </c>
      <c r="AL20" s="11" t="n">
        <f aca="false">AL6*假设!$D$13</f>
        <v>36000</v>
      </c>
      <c r="AM20" s="11" t="n">
        <f aca="false">AM6*假设!$D$13</f>
        <v>36000</v>
      </c>
      <c r="AN20" s="3"/>
    </row>
    <row r="21" customFormat="false" ht="24" hidden="false" customHeight="true" outlineLevel="0" collapsed="false">
      <c r="A21" s="1"/>
      <c r="B21" s="1"/>
      <c r="C21" s="25" t="s">
        <v>176</v>
      </c>
      <c r="D21" s="27" t="n">
        <f aca="false">D14-D15-D20</f>
        <v>0</v>
      </c>
      <c r="E21" s="27" t="n">
        <f aca="false">E14-E15-E20</f>
        <v>0</v>
      </c>
      <c r="F21" s="27" t="n">
        <f aca="false">F14-F15-F20</f>
        <v>0</v>
      </c>
      <c r="G21" s="27" t="n">
        <f aca="false">G14-G15-G20</f>
        <v>0</v>
      </c>
      <c r="H21" s="27" t="n">
        <f aca="false">H14-H15-H20</f>
        <v>9000</v>
      </c>
      <c r="I21" s="27" t="n">
        <f aca="false">I14-I15-I20</f>
        <v>15000</v>
      </c>
      <c r="J21" s="27" t="n">
        <f aca="false">J14-J15-J20</f>
        <v>21000</v>
      </c>
      <c r="K21" s="27" t="n">
        <f aca="false">K14-K15-K20</f>
        <v>27000</v>
      </c>
      <c r="L21" s="27" t="n">
        <f aca="false">L14-L15-L20</f>
        <v>33000</v>
      </c>
      <c r="M21" s="27" t="n">
        <f aca="false">M14-M15-M20</f>
        <v>39000</v>
      </c>
      <c r="N21" s="27" t="n">
        <f aca="false">N14-N15-N20</f>
        <v>45000</v>
      </c>
      <c r="O21" s="27" t="n">
        <f aca="false">O14-O15-O20</f>
        <v>51000</v>
      </c>
      <c r="P21" s="27" t="n">
        <f aca="false">P14-P15-P20</f>
        <v>57000</v>
      </c>
      <c r="Q21" s="27" t="n">
        <f aca="false">Q14-Q15-Q20</f>
        <v>63000</v>
      </c>
      <c r="R21" s="27" t="n">
        <f aca="false">R14-R15-R20</f>
        <v>69000</v>
      </c>
      <c r="S21" s="27" t="n">
        <f aca="false">S14-S15-S20</f>
        <v>75000</v>
      </c>
      <c r="T21" s="27" t="n">
        <f aca="false">T14-T15-T20</f>
        <v>82500</v>
      </c>
      <c r="U21" s="27" t="n">
        <f aca="false">U14-U15-U20</f>
        <v>90000</v>
      </c>
      <c r="V21" s="27" t="n">
        <f aca="false">V14-V15-V20</f>
        <v>97500</v>
      </c>
      <c r="W21" s="27" t="n">
        <f aca="false">W14-W15-W20</f>
        <v>105000</v>
      </c>
      <c r="X21" s="27" t="n">
        <f aca="false">X14-X15-X20</f>
        <v>112500</v>
      </c>
      <c r="Y21" s="27" t="n">
        <f aca="false">Y14-Y15-Y20</f>
        <v>120000</v>
      </c>
      <c r="Z21" s="27" t="n">
        <f aca="false">Z14-Z15-Z20</f>
        <v>127500</v>
      </c>
      <c r="AA21" s="27" t="n">
        <f aca="false">AA14-AA15-AA20</f>
        <v>135000</v>
      </c>
      <c r="AB21" s="27" t="n">
        <f aca="false">AB14-AB15-AB20</f>
        <v>142500</v>
      </c>
      <c r="AC21" s="27" t="n">
        <f aca="false">AC14-AC15-AC20</f>
        <v>150000</v>
      </c>
      <c r="AD21" s="27" t="n">
        <f aca="false">AD14-AD15-AD20</f>
        <v>157500</v>
      </c>
      <c r="AE21" s="27" t="n">
        <f aca="false">AE14-AE15-AE20</f>
        <v>165000</v>
      </c>
      <c r="AF21" s="27" t="n">
        <f aca="false">AF14-AF15-AF20</f>
        <v>172500</v>
      </c>
      <c r="AG21" s="27" t="n">
        <f aca="false">AG14-AG15-AG20</f>
        <v>180000</v>
      </c>
      <c r="AH21" s="27" t="n">
        <f aca="false">AH14-AH15-AH20</f>
        <v>180000</v>
      </c>
      <c r="AI21" s="27" t="n">
        <f aca="false">AI14-AI15-AI20</f>
        <v>180000</v>
      </c>
      <c r="AJ21" s="27" t="n">
        <f aca="false">AJ14-AJ15-AJ20</f>
        <v>180000</v>
      </c>
      <c r="AK21" s="27" t="n">
        <f aca="false">AK14-AK15-AK20</f>
        <v>180000</v>
      </c>
      <c r="AL21" s="27" t="n">
        <f aca="false">AL14-AL15-AL20</f>
        <v>180000</v>
      </c>
      <c r="AM21" s="27" t="n">
        <f aca="false">AM14-AM15-AM20</f>
        <v>180000</v>
      </c>
      <c r="AN21" s="3"/>
    </row>
    <row r="22" customFormat="false" ht="24" hidden="false" customHeight="true" outlineLevel="0" collapsed="false">
      <c r="A22" s="1"/>
      <c r="B22" s="1"/>
      <c r="C22" s="8" t="s">
        <v>177</v>
      </c>
      <c r="D22" s="11" t="n">
        <f aca="false">IF(D$5&gt;假设!$D$25,假设!$D$15,0)</f>
        <v>0</v>
      </c>
      <c r="E22" s="11" t="n">
        <f aca="false">IF(E$5&gt;假设!$D$25,假设!$D$15,0)</f>
        <v>0</v>
      </c>
      <c r="F22" s="11" t="n">
        <f aca="false">IF(F$5&gt;假设!$D$25,假设!$D$15,0)</f>
        <v>0</v>
      </c>
      <c r="G22" s="11" t="n">
        <f aca="false">IF(G$5&gt;假设!$D$25,假设!$D$15,0)</f>
        <v>0</v>
      </c>
      <c r="H22" s="11" t="n">
        <f aca="false">IF(H$5&gt;假设!$D$25,假设!$D$15,0)</f>
        <v>15000</v>
      </c>
      <c r="I22" s="11" t="n">
        <f aca="false">IF(I$5&gt;假设!$D$25,假设!$D$15,0)</f>
        <v>15000</v>
      </c>
      <c r="J22" s="11" t="n">
        <f aca="false">IF(J$5&gt;假设!$D$25,假设!$D$15,0)</f>
        <v>15000</v>
      </c>
      <c r="K22" s="11" t="n">
        <f aca="false">IF(K$5&gt;假设!$D$25,假设!$D$15,0)</f>
        <v>15000</v>
      </c>
      <c r="L22" s="11" t="n">
        <f aca="false">IF(L$5&gt;假设!$D$25,假设!$D$15,0)</f>
        <v>15000</v>
      </c>
      <c r="M22" s="11" t="n">
        <f aca="false">IF(M$5&gt;假设!$D$25,假设!$D$15,0)</f>
        <v>15000</v>
      </c>
      <c r="N22" s="11" t="n">
        <f aca="false">IF(N$5&gt;假设!$D$25,假设!$D$15,0)</f>
        <v>15000</v>
      </c>
      <c r="O22" s="11" t="n">
        <f aca="false">IF(O$5&gt;假设!$D$25,假设!$D$15,0)</f>
        <v>15000</v>
      </c>
      <c r="P22" s="11" t="n">
        <f aca="false">IF(P$5&gt;假设!$D$25,假设!$D$15,0)</f>
        <v>15000</v>
      </c>
      <c r="Q22" s="11" t="n">
        <f aca="false">IF(Q$5&gt;假设!$D$25,假设!$D$15,0)</f>
        <v>15000</v>
      </c>
      <c r="R22" s="11" t="n">
        <f aca="false">IF(R$5&gt;假设!$D$25,假设!$D$15,0)</f>
        <v>15000</v>
      </c>
      <c r="S22" s="11" t="n">
        <f aca="false">IF(S$5&gt;假设!$D$25,假设!$D$15,0)</f>
        <v>15000</v>
      </c>
      <c r="T22" s="11" t="n">
        <f aca="false">IF(T$5&gt;假设!$D$25,假设!$D$15,0)</f>
        <v>15000</v>
      </c>
      <c r="U22" s="11" t="n">
        <f aca="false">IF(U$5&gt;假设!$D$25,假设!$D$15,0)</f>
        <v>15000</v>
      </c>
      <c r="V22" s="11" t="n">
        <f aca="false">IF(V$5&gt;假设!$D$25,假设!$D$15,0)</f>
        <v>15000</v>
      </c>
      <c r="W22" s="11" t="n">
        <f aca="false">IF(W$5&gt;假设!$D$25,假设!$D$15,0)</f>
        <v>15000</v>
      </c>
      <c r="X22" s="11" t="n">
        <f aca="false">IF(X$5&gt;假设!$D$25,假设!$D$15,0)</f>
        <v>15000</v>
      </c>
      <c r="Y22" s="11" t="n">
        <f aca="false">IF(Y$5&gt;假设!$D$25,假设!$D$15,0)</f>
        <v>15000</v>
      </c>
      <c r="Z22" s="11" t="n">
        <f aca="false">IF(Z$5&gt;假设!$D$25,假设!$D$15,0)</f>
        <v>15000</v>
      </c>
      <c r="AA22" s="11" t="n">
        <f aca="false">IF(AA$5&gt;假设!$D$25,假设!$D$15,0)</f>
        <v>15000</v>
      </c>
      <c r="AB22" s="11" t="n">
        <f aca="false">IF(AB$5&gt;假设!$D$25,假设!$D$15,0)</f>
        <v>15000</v>
      </c>
      <c r="AC22" s="11" t="n">
        <f aca="false">IF(AC$5&gt;假设!$D$25,假设!$D$15,0)</f>
        <v>15000</v>
      </c>
      <c r="AD22" s="11" t="n">
        <f aca="false">IF(AD$5&gt;假设!$D$25,假设!$D$15,0)</f>
        <v>15000</v>
      </c>
      <c r="AE22" s="11" t="n">
        <f aca="false">IF(AE$5&gt;假设!$D$25,假设!$D$15,0)</f>
        <v>15000</v>
      </c>
      <c r="AF22" s="11" t="n">
        <f aca="false">IF(AF$5&gt;假设!$D$25,假设!$D$15,0)</f>
        <v>15000</v>
      </c>
      <c r="AG22" s="11" t="n">
        <f aca="false">IF(AG$5&gt;假设!$D$25,假设!$D$15,0)</f>
        <v>15000</v>
      </c>
      <c r="AH22" s="11" t="n">
        <f aca="false">IF(AH$5&gt;假设!$D$25,假设!$D$15,0)</f>
        <v>15000</v>
      </c>
      <c r="AI22" s="11" t="n">
        <f aca="false">IF(AI$5&gt;假设!$D$25,假设!$D$15,0)</f>
        <v>15000</v>
      </c>
      <c r="AJ22" s="11" t="n">
        <f aca="false">IF(AJ$5&gt;假设!$D$25,假设!$D$15,0)</f>
        <v>15000</v>
      </c>
      <c r="AK22" s="11" t="n">
        <f aca="false">IF(AK$5&gt;假设!$D$25,假设!$D$15,0)</f>
        <v>15000</v>
      </c>
      <c r="AL22" s="11" t="n">
        <f aca="false">IF(AL$5&gt;假设!$D$25,假设!$D$15,0)</f>
        <v>15000</v>
      </c>
      <c r="AM22" s="11" t="n">
        <f aca="false">IF(AM$5&gt;假设!$D$25,假设!$D$15,0)</f>
        <v>15000</v>
      </c>
      <c r="AN22" s="3"/>
    </row>
    <row r="23" customFormat="false" ht="24" hidden="false" customHeight="true" outlineLevel="0" collapsed="false">
      <c r="A23" s="1"/>
      <c r="B23" s="1"/>
      <c r="C23" s="8" t="s">
        <v>178</v>
      </c>
      <c r="D23" s="11" t="n">
        <f aca="false">IF(D$5&lt;=假设!$D$25,假设!$D$18,0)</f>
        <v>12000</v>
      </c>
      <c r="E23" s="11" t="n">
        <f aca="false">IF(E$5&lt;=假设!$D$25,假设!$D$18,0)</f>
        <v>12000</v>
      </c>
      <c r="F23" s="11" t="n">
        <f aca="false">IF(F$5&lt;=假设!$D$25,假设!$D$18,0)</f>
        <v>12000</v>
      </c>
      <c r="G23" s="11" t="n">
        <f aca="false">IF(G$5&lt;=假设!$D$25,假设!$D$18,0)</f>
        <v>12000</v>
      </c>
      <c r="H23" s="11" t="n">
        <f aca="false">IF(H$5&lt;=假设!$D$25,假设!$D$18,0)</f>
        <v>0</v>
      </c>
      <c r="I23" s="11" t="n">
        <f aca="false">IF(I$5&lt;=假设!$D$25,假设!$D$18,0)</f>
        <v>0</v>
      </c>
      <c r="J23" s="11" t="n">
        <f aca="false">IF(J$5&lt;=假设!$D$25,假设!$D$18,0)</f>
        <v>0</v>
      </c>
      <c r="K23" s="11" t="n">
        <f aca="false">IF(K$5&lt;=假设!$D$25,假设!$D$18,0)</f>
        <v>0</v>
      </c>
      <c r="L23" s="11" t="n">
        <f aca="false">IF(L$5&lt;=假设!$D$25,假设!$D$18,0)</f>
        <v>0</v>
      </c>
      <c r="M23" s="11" t="n">
        <f aca="false">IF(M$5&lt;=假设!$D$25,假设!$D$18,0)</f>
        <v>0</v>
      </c>
      <c r="N23" s="11" t="n">
        <f aca="false">IF(N$5&lt;=假设!$D$25,假设!$D$18,0)</f>
        <v>0</v>
      </c>
      <c r="O23" s="11" t="n">
        <f aca="false">IF(O$5&lt;=假设!$D$25,假设!$D$18,0)</f>
        <v>0</v>
      </c>
      <c r="P23" s="11" t="n">
        <f aca="false">IF(P$5&lt;=假设!$D$25,假设!$D$18,0)</f>
        <v>0</v>
      </c>
      <c r="Q23" s="11" t="n">
        <f aca="false">IF(Q$5&lt;=假设!$D$25,假设!$D$18,0)</f>
        <v>0</v>
      </c>
      <c r="R23" s="11" t="n">
        <f aca="false">IF(R$5&lt;=假设!$D$25,假设!$D$18,0)</f>
        <v>0</v>
      </c>
      <c r="S23" s="11" t="n">
        <f aca="false">IF(S$5&lt;=假设!$D$25,假设!$D$18,0)</f>
        <v>0</v>
      </c>
      <c r="T23" s="11" t="n">
        <f aca="false">IF(T$5&lt;=假设!$D$25,假设!$D$18,0)</f>
        <v>0</v>
      </c>
      <c r="U23" s="11" t="n">
        <f aca="false">IF(U$5&lt;=假设!$D$25,假设!$D$18,0)</f>
        <v>0</v>
      </c>
      <c r="V23" s="11" t="n">
        <f aca="false">IF(V$5&lt;=假设!$D$25,假设!$D$18,0)</f>
        <v>0</v>
      </c>
      <c r="W23" s="11" t="n">
        <f aca="false">IF(W$5&lt;=假设!$D$25,假设!$D$18,0)</f>
        <v>0</v>
      </c>
      <c r="X23" s="11" t="n">
        <f aca="false">IF(X$5&lt;=假设!$D$25,假设!$D$18,0)</f>
        <v>0</v>
      </c>
      <c r="Y23" s="11" t="n">
        <f aca="false">IF(Y$5&lt;=假设!$D$25,假设!$D$18,0)</f>
        <v>0</v>
      </c>
      <c r="Z23" s="11" t="n">
        <f aca="false">IF(Z$5&lt;=假设!$D$25,假设!$D$18,0)</f>
        <v>0</v>
      </c>
      <c r="AA23" s="11" t="n">
        <f aca="false">IF(AA$5&lt;=假设!$D$25,假设!$D$18,0)</f>
        <v>0</v>
      </c>
      <c r="AB23" s="11" t="n">
        <f aca="false">IF(AB$5&lt;=假设!$D$25,假设!$D$18,0)</f>
        <v>0</v>
      </c>
      <c r="AC23" s="11" t="n">
        <f aca="false">IF(AC$5&lt;=假设!$D$25,假设!$D$18,0)</f>
        <v>0</v>
      </c>
      <c r="AD23" s="11" t="n">
        <f aca="false">IF(AD$5&lt;=假设!$D$25,假设!$D$18,0)</f>
        <v>0</v>
      </c>
      <c r="AE23" s="11" t="n">
        <f aca="false">IF(AE$5&lt;=假设!$D$25,假设!$D$18,0)</f>
        <v>0</v>
      </c>
      <c r="AF23" s="11" t="n">
        <f aca="false">IF(AF$5&lt;=假设!$D$25,假设!$D$18,0)</f>
        <v>0</v>
      </c>
      <c r="AG23" s="11" t="n">
        <f aca="false">IF(AG$5&lt;=假设!$D$25,假设!$D$18,0)</f>
        <v>0</v>
      </c>
      <c r="AH23" s="11" t="n">
        <f aca="false">IF(AH$5&lt;=假设!$D$25,假设!$D$18,0)</f>
        <v>0</v>
      </c>
      <c r="AI23" s="11" t="n">
        <f aca="false">IF(AI$5&lt;=假设!$D$25,假设!$D$18,0)</f>
        <v>0</v>
      </c>
      <c r="AJ23" s="11" t="n">
        <f aca="false">IF(AJ$5&lt;=假设!$D$25,假设!$D$18,0)</f>
        <v>0</v>
      </c>
      <c r="AK23" s="11" t="n">
        <f aca="false">IF(AK$5&lt;=假设!$D$25,假设!$D$18,0)</f>
        <v>0</v>
      </c>
      <c r="AL23" s="11" t="n">
        <f aca="false">IF(AL$5&lt;=假设!$D$25,假设!$D$18,0)</f>
        <v>0</v>
      </c>
      <c r="AM23" s="11" t="n">
        <f aca="false">IF(AM$5&lt;=假设!$D$25,假设!$D$18,0)</f>
        <v>0</v>
      </c>
      <c r="AN23" s="3"/>
    </row>
    <row r="24" customFormat="false" ht="24" hidden="false" customHeight="true" outlineLevel="0" collapsed="false">
      <c r="A24" s="1"/>
      <c r="B24" s="1"/>
      <c r="C24" s="25" t="s">
        <v>179</v>
      </c>
      <c r="D24" s="27" t="n">
        <f aca="false">D18-D20-D22-D23-D10</f>
        <v>-12000</v>
      </c>
      <c r="E24" s="27" t="n">
        <f aca="false">E18-E20-E22-E23-E10</f>
        <v>-12000</v>
      </c>
      <c r="F24" s="27" t="n">
        <f aca="false">F18-F20-F22-F23-F10</f>
        <v>-12000</v>
      </c>
      <c r="G24" s="27" t="n">
        <f aca="false">G18-G20-G22-G23-G10</f>
        <v>-12000</v>
      </c>
      <c r="H24" s="27" t="n">
        <f aca="false">H18-H20-H22-H23-H10</f>
        <v>-8000</v>
      </c>
      <c r="I24" s="27" t="n">
        <f aca="false">I18-I20-I22-I23-I10</f>
        <v>-8450</v>
      </c>
      <c r="J24" s="27" t="n">
        <f aca="false">J18-J20-J22-J23-J10</f>
        <v>-2750</v>
      </c>
      <c r="K24" s="27" t="n">
        <f aca="false">K18-K20-K22-K23-K10</f>
        <v>2950</v>
      </c>
      <c r="L24" s="27" t="n">
        <f aca="false">L18-L20-L22-L23-L10</f>
        <v>8650</v>
      </c>
      <c r="M24" s="27" t="n">
        <f aca="false">M18-M20-M22-M23-M10</f>
        <v>14350</v>
      </c>
      <c r="N24" s="27" t="n">
        <f aca="false">N18-N20-N22-N23-N10</f>
        <v>20050</v>
      </c>
      <c r="O24" s="27" t="n">
        <f aca="false">O18-O20-O22-O23-O10</f>
        <v>25750</v>
      </c>
      <c r="P24" s="27" t="n">
        <f aca="false">P18-P20-P22-P23-P10</f>
        <v>31450</v>
      </c>
      <c r="Q24" s="27" t="n">
        <f aca="false">Q18-Q20-Q22-Q23-Q10</f>
        <v>37150</v>
      </c>
      <c r="R24" s="27" t="n">
        <f aca="false">R18-R20-R22-R23-R10</f>
        <v>42850</v>
      </c>
      <c r="S24" s="27" t="n">
        <f aca="false">S18-S20-S22-S23-S10</f>
        <v>48550</v>
      </c>
      <c r="T24" s="27" t="n">
        <f aca="false">T18-T20-T22-T23-T10</f>
        <v>54250</v>
      </c>
      <c r="U24" s="27" t="n">
        <f aca="false">U18-U20-U22-U23-U10</f>
        <v>61375</v>
      </c>
      <c r="V24" s="27" t="n">
        <f aca="false">V18-V20-V22-V23-V10</f>
        <v>68500</v>
      </c>
      <c r="W24" s="27" t="n">
        <f aca="false">W18-W20-W22-W23-W10</f>
        <v>75625</v>
      </c>
      <c r="X24" s="27" t="n">
        <f aca="false">X18-X20-X22-X23-X10</f>
        <v>82750</v>
      </c>
      <c r="Y24" s="27" t="n">
        <f aca="false">Y18-Y20-Y22-Y23-Y10</f>
        <v>89875</v>
      </c>
      <c r="Z24" s="27" t="n">
        <f aca="false">Z18-Z20-Z22-Z23-Z10</f>
        <v>97000</v>
      </c>
      <c r="AA24" s="27" t="n">
        <f aca="false">AA18-AA20-AA22-AA23-AA10</f>
        <v>104125</v>
      </c>
      <c r="AB24" s="27" t="n">
        <f aca="false">AB18-AB20-AB22-AB23-AB10</f>
        <v>111250</v>
      </c>
      <c r="AC24" s="27" t="n">
        <f aca="false">AC18-AC20-AC22-AC23-AC10</f>
        <v>118375</v>
      </c>
      <c r="AD24" s="27" t="n">
        <f aca="false">AD18-AD20-AD22-AD23-AD10</f>
        <v>125500</v>
      </c>
      <c r="AE24" s="27" t="n">
        <f aca="false">AE18-AE20-AE22-AE23-AE10</f>
        <v>132625</v>
      </c>
      <c r="AF24" s="27" t="n">
        <f aca="false">AF18-AF20-AF22-AF23-AF10</f>
        <v>139750</v>
      </c>
      <c r="AG24" s="27" t="n">
        <f aca="false">AG18-AG20-AG22-AG23-AG10</f>
        <v>146875</v>
      </c>
      <c r="AH24" s="27" t="n">
        <f aca="false">AH18-AH20-AH22-AH23-AH10</f>
        <v>154000</v>
      </c>
      <c r="AI24" s="27" t="n">
        <f aca="false">AI18-AI20-AI22-AI23-AI10</f>
        <v>154000</v>
      </c>
      <c r="AJ24" s="27" t="n">
        <f aca="false">AJ18-AJ20-AJ22-AJ23-AJ10</f>
        <v>154000</v>
      </c>
      <c r="AK24" s="27" t="n">
        <f aca="false">AK18-AK20-AK22-AK23-AK10</f>
        <v>154000</v>
      </c>
      <c r="AL24" s="27" t="n">
        <f aca="false">AL18-AL20-AL22-AL23-AL10</f>
        <v>154000</v>
      </c>
      <c r="AM24" s="27" t="n">
        <f aca="false">AM18-AM20-AM22-AM23-AM10</f>
        <v>154000</v>
      </c>
      <c r="AN24" s="3"/>
    </row>
    <row r="25" customFormat="false" ht="24" hidden="false" customHeight="true" outlineLevel="0" collapsed="false">
      <c r="A25" s="1"/>
      <c r="B25" s="1"/>
      <c r="C25" s="8" t="s">
        <v>180</v>
      </c>
      <c r="D25" s="10" t="str">
        <f aca="false">IF(D14=0,"不适用",D24/D14)</f>
        <v>不适用</v>
      </c>
      <c r="E25" s="10" t="str">
        <f aca="false">IF(E14=0,"不适用",E24/E14)</f>
        <v>不适用</v>
      </c>
      <c r="F25" s="10" t="str">
        <f aca="false">IF(F14=0,"不适用",F24/F14)</f>
        <v>不适用</v>
      </c>
      <c r="G25" s="10" t="str">
        <f aca="false">IF(G14=0,"不适用",G24/G14)</f>
        <v>不适用</v>
      </c>
      <c r="H25" s="10" t="n">
        <f aca="false">IF(H14=0,"不适用",H24/H14)</f>
        <v>-0.444444444444444</v>
      </c>
      <c r="I25" s="10" t="n">
        <f aca="false">IF(I14=0,"不适用",I24/I14)</f>
        <v>-0.281666666666667</v>
      </c>
      <c r="J25" s="10" t="n">
        <f aca="false">IF(J14=0,"不适用",J24/J14)</f>
        <v>-0.0654761904761905</v>
      </c>
      <c r="K25" s="10" t="n">
        <f aca="false">IF(K14=0,"不适用",K24/K14)</f>
        <v>0.0546296296296296</v>
      </c>
      <c r="L25" s="10" t="n">
        <f aca="false">IF(L14=0,"不适用",L24/L14)</f>
        <v>0.131060606060606</v>
      </c>
      <c r="M25" s="10" t="n">
        <f aca="false">IF(M14=0,"不适用",M24/M14)</f>
        <v>0.183974358974359</v>
      </c>
      <c r="N25" s="10" t="n">
        <f aca="false">IF(N14=0,"不适用",N24/N14)</f>
        <v>0.222777777777778</v>
      </c>
      <c r="O25" s="10" t="n">
        <f aca="false">IF(O14=0,"不适用",O24/O14)</f>
        <v>0.252450980392157</v>
      </c>
      <c r="P25" s="10" t="n">
        <f aca="false">IF(P14=0,"不适用",P24/P14)</f>
        <v>0.275877192982456</v>
      </c>
      <c r="Q25" s="10" t="n">
        <f aca="false">IF(Q14=0,"不适用",Q24/Q14)</f>
        <v>0.29484126984127</v>
      </c>
      <c r="R25" s="10" t="n">
        <f aca="false">IF(R14=0,"不适用",R24/R14)</f>
        <v>0.310507246376812</v>
      </c>
      <c r="S25" s="10" t="n">
        <f aca="false">IF(S14=0,"不适用",S24/S14)</f>
        <v>0.323666666666667</v>
      </c>
      <c r="T25" s="10" t="n">
        <f aca="false">IF(T14=0,"不适用",T24/T14)</f>
        <v>0.328787878787879</v>
      </c>
      <c r="U25" s="10" t="n">
        <f aca="false">IF(U14=0,"不适用",U24/U14)</f>
        <v>0.340972222222222</v>
      </c>
      <c r="V25" s="10" t="n">
        <f aca="false">IF(V14=0,"不适用",V24/V14)</f>
        <v>0.351282051282051</v>
      </c>
      <c r="W25" s="10" t="n">
        <f aca="false">IF(W14=0,"不适用",W24/W14)</f>
        <v>0.360119047619048</v>
      </c>
      <c r="X25" s="10" t="n">
        <f aca="false">IF(X14=0,"不适用",X24/X14)</f>
        <v>0.367777777777778</v>
      </c>
      <c r="Y25" s="10" t="n">
        <f aca="false">IF(Y14=0,"不适用",Y24/Y14)</f>
        <v>0.374479166666667</v>
      </c>
      <c r="Z25" s="10" t="n">
        <f aca="false">IF(Z14=0,"不适用",Z24/Z14)</f>
        <v>0.380392156862745</v>
      </c>
      <c r="AA25" s="10" t="n">
        <f aca="false">IF(AA14=0,"不适用",AA24/AA14)</f>
        <v>0.385648148148148</v>
      </c>
      <c r="AB25" s="10" t="n">
        <f aca="false">IF(AB14=0,"不适用",AB24/AB14)</f>
        <v>0.390350877192982</v>
      </c>
      <c r="AC25" s="10" t="n">
        <f aca="false">IF(AC14=0,"不适用",AC24/AC14)</f>
        <v>0.394583333333333</v>
      </c>
      <c r="AD25" s="10" t="n">
        <f aca="false">IF(AD14=0,"不适用",AD24/AD14)</f>
        <v>0.398412698412698</v>
      </c>
      <c r="AE25" s="10" t="n">
        <f aca="false">IF(AE14=0,"不适用",AE24/AE14)</f>
        <v>0.401893939393939</v>
      </c>
      <c r="AF25" s="10" t="n">
        <f aca="false">IF(AF14=0,"不适用",AF24/AF14)</f>
        <v>0.405072463768116</v>
      </c>
      <c r="AG25" s="10" t="n">
        <f aca="false">IF(AG14=0,"不适用",AG24/AG14)</f>
        <v>0.407986111111111</v>
      </c>
      <c r="AH25" s="10" t="n">
        <f aca="false">IF(AH14=0,"不适用",AH24/AH14)</f>
        <v>0.427777777777778</v>
      </c>
      <c r="AI25" s="10" t="n">
        <f aca="false">IF(AI14=0,"不适用",AI24/AI14)</f>
        <v>0.427777777777778</v>
      </c>
      <c r="AJ25" s="10" t="n">
        <f aca="false">IF(AJ14=0,"不适用",AJ24/AJ14)</f>
        <v>0.427777777777778</v>
      </c>
      <c r="AK25" s="10" t="n">
        <f aca="false">IF(AK14=0,"不适用",AK24/AK14)</f>
        <v>0.427777777777778</v>
      </c>
      <c r="AL25" s="10" t="n">
        <f aca="false">IF(AL14=0,"不适用",AL24/AL14)</f>
        <v>0.427777777777778</v>
      </c>
      <c r="AM25" s="10" t="n">
        <f aca="false">IF(AM14=0,"不适用",AM24/AM14)</f>
        <v>0.427777777777778</v>
      </c>
      <c r="AN25" s="3"/>
    </row>
    <row r="26" customFormat="false" ht="24" hidden="false" customHeight="true" outlineLevel="0" collapsed="false">
      <c r="A26" s="1"/>
      <c r="B26" s="1"/>
      <c r="C26" s="8" t="s">
        <v>181</v>
      </c>
      <c r="D26" s="11" t="n">
        <f aca="false">IF(D$5&lt;=假设!$D$25,(假设!$D$16+假设!$D$17)/假设!$D$25,0)</f>
        <v>47437.5</v>
      </c>
      <c r="E26" s="11" t="n">
        <f aca="false">IF(E$5&lt;=假设!$D$25,(假设!$D$16+假设!$D$17)/假设!$D$25,0)</f>
        <v>47437.5</v>
      </c>
      <c r="F26" s="11" t="n">
        <f aca="false">IF(F$5&lt;=假设!$D$25,(假设!$D$16+假设!$D$17)/假设!$D$25,0)</f>
        <v>47437.5</v>
      </c>
      <c r="G26" s="11" t="n">
        <f aca="false">IF(G$5&lt;=假设!$D$25,(假设!$D$16+假设!$D$17)/假设!$D$25,0)</f>
        <v>47437.5</v>
      </c>
      <c r="H26" s="11" t="n">
        <f aca="false">IF(H$5&lt;=假设!$D$25,(假设!$D$16+假设!$D$17)/假设!$D$25,0)</f>
        <v>0</v>
      </c>
      <c r="I26" s="11" t="n">
        <f aca="false">IF(I$5&lt;=假设!$D$25,(假设!$D$16+假设!$D$17)/假设!$D$25,0)</f>
        <v>0</v>
      </c>
      <c r="J26" s="11" t="n">
        <f aca="false">IF(J$5&lt;=假设!$D$25,(假设!$D$16+假设!$D$17)/假设!$D$25,0)</f>
        <v>0</v>
      </c>
      <c r="K26" s="11" t="n">
        <f aca="false">IF(K$5&lt;=假设!$D$25,(假设!$D$16+假设!$D$17)/假设!$D$25,0)</f>
        <v>0</v>
      </c>
      <c r="L26" s="11" t="n">
        <f aca="false">IF(L$5&lt;=假设!$D$25,(假设!$D$16+假设!$D$17)/假设!$D$25,0)</f>
        <v>0</v>
      </c>
      <c r="M26" s="11" t="n">
        <f aca="false">IF(M$5&lt;=假设!$D$25,(假设!$D$16+假设!$D$17)/假设!$D$25,0)</f>
        <v>0</v>
      </c>
      <c r="N26" s="11" t="n">
        <f aca="false">IF(N$5&lt;=假设!$D$25,(假设!$D$16+假设!$D$17)/假设!$D$25,0)</f>
        <v>0</v>
      </c>
      <c r="O26" s="11" t="n">
        <f aca="false">IF(O$5&lt;=假设!$D$25,(假设!$D$16+假设!$D$17)/假设!$D$25,0)</f>
        <v>0</v>
      </c>
      <c r="P26" s="11" t="n">
        <f aca="false">IF(P$5&lt;=假设!$D$25,(假设!$D$16+假设!$D$17)/假设!$D$25,0)</f>
        <v>0</v>
      </c>
      <c r="Q26" s="11" t="n">
        <f aca="false">IF(Q$5&lt;=假设!$D$25,(假设!$D$16+假设!$D$17)/假设!$D$25,0)</f>
        <v>0</v>
      </c>
      <c r="R26" s="11" t="n">
        <f aca="false">IF(R$5&lt;=假设!$D$25,(假设!$D$16+假设!$D$17)/假设!$D$25,0)</f>
        <v>0</v>
      </c>
      <c r="S26" s="11" t="n">
        <f aca="false">IF(S$5&lt;=假设!$D$25,(假设!$D$16+假设!$D$17)/假设!$D$25,0)</f>
        <v>0</v>
      </c>
      <c r="T26" s="11" t="n">
        <f aca="false">IF(T$5&lt;=假设!$D$25,(假设!$D$16+假设!$D$17)/假设!$D$25,0)</f>
        <v>0</v>
      </c>
      <c r="U26" s="11" t="n">
        <f aca="false">IF(U$5&lt;=假设!$D$25,(假设!$D$16+假设!$D$17)/假设!$D$25,0)</f>
        <v>0</v>
      </c>
      <c r="V26" s="11" t="n">
        <f aca="false">IF(V$5&lt;=假设!$D$25,(假设!$D$16+假设!$D$17)/假设!$D$25,0)</f>
        <v>0</v>
      </c>
      <c r="W26" s="11" t="n">
        <f aca="false">IF(W$5&lt;=假设!$D$25,(假设!$D$16+假设!$D$17)/假设!$D$25,0)</f>
        <v>0</v>
      </c>
      <c r="X26" s="11" t="n">
        <f aca="false">IF(X$5&lt;=假设!$D$25,(假设!$D$16+假设!$D$17)/假设!$D$25,0)</f>
        <v>0</v>
      </c>
      <c r="Y26" s="11" t="n">
        <f aca="false">IF(Y$5&lt;=假设!$D$25,(假设!$D$16+假设!$D$17)/假设!$D$25,0)</f>
        <v>0</v>
      </c>
      <c r="Z26" s="11" t="n">
        <f aca="false">IF(Z$5&lt;=假设!$D$25,(假设!$D$16+假设!$D$17)/假设!$D$25,0)</f>
        <v>0</v>
      </c>
      <c r="AA26" s="11" t="n">
        <f aca="false">IF(AA$5&lt;=假设!$D$25,(假设!$D$16+假设!$D$17)/假设!$D$25,0)</f>
        <v>0</v>
      </c>
      <c r="AB26" s="11" t="n">
        <f aca="false">IF(AB$5&lt;=假设!$D$25,(假设!$D$16+假设!$D$17)/假设!$D$25,0)</f>
        <v>0</v>
      </c>
      <c r="AC26" s="11" t="n">
        <f aca="false">IF(AC$5&lt;=假设!$D$25,(假设!$D$16+假设!$D$17)/假设!$D$25,0)</f>
        <v>0</v>
      </c>
      <c r="AD26" s="11" t="n">
        <f aca="false">IF(AD$5&lt;=假设!$D$25,(假设!$D$16+假设!$D$17)/假设!$D$25,0)</f>
        <v>0</v>
      </c>
      <c r="AE26" s="11" t="n">
        <f aca="false">IF(AE$5&lt;=假设!$D$25,(假设!$D$16+假设!$D$17)/假设!$D$25,0)</f>
        <v>0</v>
      </c>
      <c r="AF26" s="11" t="n">
        <f aca="false">IF(AF$5&lt;=假设!$D$25,(假设!$D$16+假设!$D$17)/假设!$D$25,0)</f>
        <v>0</v>
      </c>
      <c r="AG26" s="11" t="n">
        <f aca="false">IF(AG$5&lt;=假设!$D$25,(假设!$D$16+假设!$D$17)/假设!$D$25,0)</f>
        <v>0</v>
      </c>
      <c r="AH26" s="11" t="n">
        <f aca="false">IF(AH$5&lt;=假设!$D$25,(假设!$D$16+假设!$D$17)/假设!$D$25,0)</f>
        <v>0</v>
      </c>
      <c r="AI26" s="11" t="n">
        <f aca="false">IF(AI$5&lt;=假设!$D$25,(假设!$D$16+假设!$D$17)/假设!$D$25,0)</f>
        <v>0</v>
      </c>
      <c r="AJ26" s="11" t="n">
        <f aca="false">IF(AJ$5&lt;=假设!$D$25,(假设!$D$16+假设!$D$17)/假设!$D$25,0)</f>
        <v>0</v>
      </c>
      <c r="AK26" s="11" t="n">
        <f aca="false">IF(AK$5&lt;=假设!$D$25,(假设!$D$16+假设!$D$17)/假设!$D$25,0)</f>
        <v>0</v>
      </c>
      <c r="AL26" s="11" t="n">
        <f aca="false">IF(AL$5&lt;=假设!$D$25,(假设!$D$16+假设!$D$17)/假设!$D$25,0)</f>
        <v>0</v>
      </c>
      <c r="AM26" s="11" t="n">
        <f aca="false">IF(AM$5&lt;=假设!$D$25,(假设!$D$16+假设!$D$17)/假设!$D$25,0)</f>
        <v>0</v>
      </c>
      <c r="AN26" s="3"/>
    </row>
    <row r="27" customFormat="false" ht="24" hidden="false" customHeight="true" outlineLevel="0" collapsed="false">
      <c r="A27" s="1"/>
      <c r="B27" s="1"/>
      <c r="C27" s="8" t="s">
        <v>182</v>
      </c>
      <c r="D27" s="11" t="n">
        <f aca="false">IF(D$5=假设!$D$25+1,假设!$D$19,0)</f>
        <v>0</v>
      </c>
      <c r="E27" s="11" t="n">
        <f aca="false">IF(E$5=假设!$D$25+1,假设!$D$19,0)</f>
        <v>0</v>
      </c>
      <c r="F27" s="11" t="n">
        <f aca="false">IF(F$5=假设!$D$25+1,假设!$D$19,0)</f>
        <v>0</v>
      </c>
      <c r="G27" s="11" t="n">
        <f aca="false">IF(G$5=假设!$D$25+1,假设!$D$19,0)</f>
        <v>0</v>
      </c>
      <c r="H27" s="11" t="n">
        <f aca="false">IF(H$5=假设!$D$25+1,假设!$D$19,0)</f>
        <v>50000</v>
      </c>
      <c r="I27" s="11" t="n">
        <f aca="false">IF(I$5=假设!$D$25+1,假设!$D$19,0)</f>
        <v>0</v>
      </c>
      <c r="J27" s="11" t="n">
        <f aca="false">IF(J$5=假设!$D$25+1,假设!$D$19,0)</f>
        <v>0</v>
      </c>
      <c r="K27" s="11" t="n">
        <f aca="false">IF(K$5=假设!$D$25+1,假设!$D$19,0)</f>
        <v>0</v>
      </c>
      <c r="L27" s="11" t="n">
        <f aca="false">IF(L$5=假设!$D$25+1,假设!$D$19,0)</f>
        <v>0</v>
      </c>
      <c r="M27" s="11" t="n">
        <f aca="false">IF(M$5=假设!$D$25+1,假设!$D$19,0)</f>
        <v>0</v>
      </c>
      <c r="N27" s="11" t="n">
        <f aca="false">IF(N$5=假设!$D$25+1,假设!$D$19,0)</f>
        <v>0</v>
      </c>
      <c r="O27" s="11" t="n">
        <f aca="false">IF(O$5=假设!$D$25+1,假设!$D$19,0)</f>
        <v>0</v>
      </c>
      <c r="P27" s="11" t="n">
        <f aca="false">IF(P$5=假设!$D$25+1,假设!$D$19,0)</f>
        <v>0</v>
      </c>
      <c r="Q27" s="11" t="n">
        <f aca="false">IF(Q$5=假设!$D$25+1,假设!$D$19,0)</f>
        <v>0</v>
      </c>
      <c r="R27" s="11" t="n">
        <f aca="false">IF(R$5=假设!$D$25+1,假设!$D$19,0)</f>
        <v>0</v>
      </c>
      <c r="S27" s="11" t="n">
        <f aca="false">IF(S$5=假设!$D$25+1,假设!$D$19,0)</f>
        <v>0</v>
      </c>
      <c r="T27" s="11" t="n">
        <f aca="false">IF(T$5=假设!$D$25+1,假设!$D$19,0)</f>
        <v>0</v>
      </c>
      <c r="U27" s="11" t="n">
        <f aca="false">IF(U$5=假设!$D$25+1,假设!$D$19,0)</f>
        <v>0</v>
      </c>
      <c r="V27" s="11" t="n">
        <f aca="false">IF(V$5=假设!$D$25+1,假设!$D$19,0)</f>
        <v>0</v>
      </c>
      <c r="W27" s="11" t="n">
        <f aca="false">IF(W$5=假设!$D$25+1,假设!$D$19,0)</f>
        <v>0</v>
      </c>
      <c r="X27" s="11" t="n">
        <f aca="false">IF(X$5=假设!$D$25+1,假设!$D$19,0)</f>
        <v>0</v>
      </c>
      <c r="Y27" s="11" t="n">
        <f aca="false">IF(Y$5=假设!$D$25+1,假设!$D$19,0)</f>
        <v>0</v>
      </c>
      <c r="Z27" s="11" t="n">
        <f aca="false">IF(Z$5=假设!$D$25+1,假设!$D$19,0)</f>
        <v>0</v>
      </c>
      <c r="AA27" s="11" t="n">
        <f aca="false">IF(AA$5=假设!$D$25+1,假设!$D$19,0)</f>
        <v>0</v>
      </c>
      <c r="AB27" s="11" t="n">
        <f aca="false">IF(AB$5=假设!$D$25+1,假设!$D$19,0)</f>
        <v>0</v>
      </c>
      <c r="AC27" s="11" t="n">
        <f aca="false">IF(AC$5=假设!$D$25+1,假设!$D$19,0)</f>
        <v>0</v>
      </c>
      <c r="AD27" s="11" t="n">
        <f aca="false">IF(AD$5=假设!$D$25+1,假设!$D$19,0)</f>
        <v>0</v>
      </c>
      <c r="AE27" s="11" t="n">
        <f aca="false">IF(AE$5=假设!$D$25+1,假设!$D$19,0)</f>
        <v>0</v>
      </c>
      <c r="AF27" s="11" t="n">
        <f aca="false">IF(AF$5=假设!$D$25+1,假设!$D$19,0)</f>
        <v>0</v>
      </c>
      <c r="AG27" s="11" t="n">
        <f aca="false">IF(AG$5=假设!$D$25+1,假设!$D$19,0)</f>
        <v>0</v>
      </c>
      <c r="AH27" s="11" t="n">
        <f aca="false">IF(AH$5=假设!$D$25+1,假设!$D$19,0)</f>
        <v>0</v>
      </c>
      <c r="AI27" s="11" t="n">
        <f aca="false">IF(AI$5=假设!$D$25+1,假设!$D$19,0)</f>
        <v>0</v>
      </c>
      <c r="AJ27" s="11" t="n">
        <f aca="false">IF(AJ$5=假设!$D$25+1,假设!$D$19,0)</f>
        <v>0</v>
      </c>
      <c r="AK27" s="11" t="n">
        <f aca="false">IF(AK$5=假设!$D$25+1,假设!$D$19,0)</f>
        <v>0</v>
      </c>
      <c r="AL27" s="11" t="n">
        <f aca="false">IF(AL$5=假设!$D$25+1,假设!$D$19,0)</f>
        <v>0</v>
      </c>
      <c r="AM27" s="11" t="n">
        <f aca="false">IF(AM$5=假设!$D$25+1,假设!$D$19,0)</f>
        <v>0</v>
      </c>
      <c r="AN27" s="3"/>
    </row>
    <row r="28" customFormat="false" ht="24" hidden="false" customHeight="true" outlineLevel="0" collapsed="false">
      <c r="A28" s="1"/>
      <c r="B28" s="1"/>
      <c r="C28" s="25" t="s">
        <v>183</v>
      </c>
      <c r="D28" s="27" t="n">
        <f aca="false">D24-D26-D27-D14+D33</f>
        <v>-59437.5</v>
      </c>
      <c r="E28" s="27" t="n">
        <f aca="false">E24-E26-E27-E14+E33</f>
        <v>-59437.5</v>
      </c>
      <c r="F28" s="27" t="n">
        <f aca="false">F24-F26-F27-F14+F33</f>
        <v>-59437.5</v>
      </c>
      <c r="G28" s="27" t="n">
        <f aca="false">G24-G26-G27-G14+G33</f>
        <v>-59437.5</v>
      </c>
      <c r="H28" s="27" t="n">
        <f aca="false">H24-H26-H27-H14+H33</f>
        <v>-58000</v>
      </c>
      <c r="I28" s="27" t="n">
        <f aca="false">I24-I26-I27-I14+I33</f>
        <v>-8450</v>
      </c>
      <c r="J28" s="27" t="n">
        <f aca="false">J24-J26-J27-J14+J33</f>
        <v>-2750</v>
      </c>
      <c r="K28" s="27" t="n">
        <f aca="false">K24-K26-K27-K14+K33</f>
        <v>2950</v>
      </c>
      <c r="L28" s="27" t="n">
        <f aca="false">L24-L26-L27-L14+L33</f>
        <v>8650</v>
      </c>
      <c r="M28" s="27" t="n">
        <f aca="false">M24-M26-M27-M14+M33</f>
        <v>14350</v>
      </c>
      <c r="N28" s="27" t="n">
        <f aca="false">N24-N26-N27-N14+N33</f>
        <v>20050</v>
      </c>
      <c r="O28" s="27" t="n">
        <f aca="false">O24-O26-O27-O14+O33</f>
        <v>25750</v>
      </c>
      <c r="P28" s="27" t="n">
        <f aca="false">P24-P26-P27-P14+P33</f>
        <v>31450</v>
      </c>
      <c r="Q28" s="27" t="n">
        <f aca="false">Q24-Q26-Q27-Q14+Q33</f>
        <v>37150</v>
      </c>
      <c r="R28" s="27" t="n">
        <f aca="false">R24-R26-R27-R14+R33</f>
        <v>42850</v>
      </c>
      <c r="S28" s="27" t="n">
        <f aca="false">S24-S26-S27-S14+S33</f>
        <v>48550</v>
      </c>
      <c r="T28" s="27" t="n">
        <f aca="false">T24-T26-T27-T14+T33</f>
        <v>54250</v>
      </c>
      <c r="U28" s="27" t="n">
        <f aca="false">U24-U26-U27-U14+U33</f>
        <v>61375</v>
      </c>
      <c r="V28" s="27" t="n">
        <f aca="false">V24-V26-V27-V14+V33</f>
        <v>68500</v>
      </c>
      <c r="W28" s="27" t="n">
        <f aca="false">W24-W26-W27-W14+W33</f>
        <v>75625</v>
      </c>
      <c r="X28" s="27" t="n">
        <f aca="false">X24-X26-X27-X14+X33</f>
        <v>82750</v>
      </c>
      <c r="Y28" s="27" t="n">
        <f aca="false">Y24-Y26-Y27-Y14+Y33</f>
        <v>89875</v>
      </c>
      <c r="Z28" s="27" t="n">
        <f aca="false">Z24-Z26-Z27-Z14+Z33</f>
        <v>97000</v>
      </c>
      <c r="AA28" s="27" t="n">
        <f aca="false">AA24-AA26-AA27-AA14+AA33</f>
        <v>104125</v>
      </c>
      <c r="AB28" s="27" t="n">
        <f aca="false">AB24-AB26-AB27-AB14+AB33</f>
        <v>111250</v>
      </c>
      <c r="AC28" s="27" t="n">
        <f aca="false">AC24-AC26-AC27-AC14+AC33</f>
        <v>118375</v>
      </c>
      <c r="AD28" s="27" t="n">
        <f aca="false">AD24-AD26-AD27-AD14+AD33</f>
        <v>125500</v>
      </c>
      <c r="AE28" s="27" t="n">
        <f aca="false">AE24-AE26-AE27-AE14+AE33</f>
        <v>132625</v>
      </c>
      <c r="AF28" s="27" t="n">
        <f aca="false">AF24-AF26-AF27-AF14+AF33</f>
        <v>139750</v>
      </c>
      <c r="AG28" s="27" t="n">
        <f aca="false">AG24-AG26-AG27-AG14+AG33</f>
        <v>146875</v>
      </c>
      <c r="AH28" s="27" t="n">
        <f aca="false">AH24-AH26-AH27-AH14+AH33</f>
        <v>154000</v>
      </c>
      <c r="AI28" s="27" t="n">
        <f aca="false">AI24-AI26-AI27-AI14+AI33</f>
        <v>154000</v>
      </c>
      <c r="AJ28" s="27" t="n">
        <f aca="false">AJ24-AJ26-AJ27-AJ14+AJ33</f>
        <v>154000</v>
      </c>
      <c r="AK28" s="27" t="n">
        <f aca="false">AK24-AK26-AK27-AK14+AK33</f>
        <v>154000</v>
      </c>
      <c r="AL28" s="27" t="n">
        <f aca="false">AL24-AL26-AL27-AL14+AL33</f>
        <v>154000</v>
      </c>
      <c r="AM28" s="27" t="n">
        <f aca="false">AM24-AM26-AM27-AM14+AM33</f>
        <v>154000</v>
      </c>
      <c r="AN28" s="3"/>
    </row>
    <row r="29" customFormat="false" ht="24" hidden="false" customHeight="true" outlineLevel="0" collapsed="false">
      <c r="A29" s="1"/>
      <c r="B29" s="1"/>
      <c r="C29" s="25" t="s">
        <v>184</v>
      </c>
      <c r="D29" s="27" t="n">
        <f aca="false">D28</f>
        <v>-59437.5</v>
      </c>
      <c r="E29" s="27" t="n">
        <f aca="false">D29+E28</f>
        <v>-118875</v>
      </c>
      <c r="F29" s="27" t="n">
        <f aca="false">E29+F28</f>
        <v>-178312.5</v>
      </c>
      <c r="G29" s="27" t="n">
        <f aca="false">F29+G28</f>
        <v>-237750</v>
      </c>
      <c r="H29" s="27" t="n">
        <f aca="false">G29+H28</f>
        <v>-295750</v>
      </c>
      <c r="I29" s="27" t="n">
        <f aca="false">H29+I28</f>
        <v>-304200</v>
      </c>
      <c r="J29" s="27" t="n">
        <f aca="false">I29+J28</f>
        <v>-306950</v>
      </c>
      <c r="K29" s="27" t="n">
        <f aca="false">J29+K28</f>
        <v>-304000</v>
      </c>
      <c r="L29" s="27" t="n">
        <f aca="false">K29+L28</f>
        <v>-295350</v>
      </c>
      <c r="M29" s="27" t="n">
        <f aca="false">L29+M28</f>
        <v>-281000</v>
      </c>
      <c r="N29" s="27" t="n">
        <f aca="false">M29+N28</f>
        <v>-260950</v>
      </c>
      <c r="O29" s="27" t="n">
        <f aca="false">N29+O28</f>
        <v>-235200</v>
      </c>
      <c r="P29" s="27" t="n">
        <f aca="false">O29+P28</f>
        <v>-203750</v>
      </c>
      <c r="Q29" s="27" t="n">
        <f aca="false">P29+Q28</f>
        <v>-166600</v>
      </c>
      <c r="R29" s="27" t="n">
        <f aca="false">Q29+R28</f>
        <v>-123750</v>
      </c>
      <c r="S29" s="27" t="n">
        <f aca="false">R29+S28</f>
        <v>-75200</v>
      </c>
      <c r="T29" s="27" t="n">
        <f aca="false">S29+T28</f>
        <v>-20950</v>
      </c>
      <c r="U29" s="27" t="n">
        <f aca="false">T29+U28</f>
        <v>40425</v>
      </c>
      <c r="V29" s="27" t="n">
        <f aca="false">U29+V28</f>
        <v>108925</v>
      </c>
      <c r="W29" s="27" t="n">
        <f aca="false">V29+W28</f>
        <v>184550</v>
      </c>
      <c r="X29" s="27" t="n">
        <f aca="false">W29+X28</f>
        <v>267300</v>
      </c>
      <c r="Y29" s="27" t="n">
        <f aca="false">X29+Y28</f>
        <v>357175</v>
      </c>
      <c r="Z29" s="27" t="n">
        <f aca="false">Y29+Z28</f>
        <v>454175</v>
      </c>
      <c r="AA29" s="27" t="n">
        <f aca="false">Z29+AA28</f>
        <v>558300</v>
      </c>
      <c r="AB29" s="27" t="n">
        <f aca="false">AA29+AB28</f>
        <v>669550</v>
      </c>
      <c r="AC29" s="27" t="n">
        <f aca="false">AB29+AC28</f>
        <v>787925</v>
      </c>
      <c r="AD29" s="27" t="n">
        <f aca="false">AC29+AD28</f>
        <v>913425</v>
      </c>
      <c r="AE29" s="27" t="n">
        <f aca="false">AD29+AE28</f>
        <v>1046050</v>
      </c>
      <c r="AF29" s="27" t="n">
        <f aca="false">AE29+AF28</f>
        <v>1185800</v>
      </c>
      <c r="AG29" s="27" t="n">
        <f aca="false">AF29+AG28</f>
        <v>1332675</v>
      </c>
      <c r="AH29" s="27" t="n">
        <f aca="false">AG29+AH28</f>
        <v>1486675</v>
      </c>
      <c r="AI29" s="27" t="n">
        <f aca="false">AH29+AI28</f>
        <v>1640675</v>
      </c>
      <c r="AJ29" s="27" t="n">
        <f aca="false">AI29+AJ28</f>
        <v>1794675</v>
      </c>
      <c r="AK29" s="27" t="n">
        <f aca="false">AJ29+AK28</f>
        <v>1948675</v>
      </c>
      <c r="AL29" s="27" t="n">
        <f aca="false">AK29+AL28</f>
        <v>2102675</v>
      </c>
      <c r="AM29" s="27" t="n">
        <f aca="false">AL29+AM28</f>
        <v>2256675</v>
      </c>
      <c r="AN29" s="3"/>
    </row>
    <row r="30" customFormat="false" ht="24" hidden="false" customHeight="true" outlineLevel="0" collapsed="false">
      <c r="A30" s="1"/>
      <c r="B30" s="1"/>
      <c r="C30" s="8" t="s">
        <v>185</v>
      </c>
      <c r="D30" s="11" t="n">
        <f aca="false">假设!$D$23+D29</f>
        <v>-59437.5</v>
      </c>
      <c r="E30" s="11" t="n">
        <f aca="false">假设!$D$23+E29</f>
        <v>-118875</v>
      </c>
      <c r="F30" s="11" t="n">
        <f aca="false">假设!$D$23+F29</f>
        <v>-178312.5</v>
      </c>
      <c r="G30" s="11" t="n">
        <f aca="false">假设!$D$23+G29</f>
        <v>-237750</v>
      </c>
      <c r="H30" s="11" t="n">
        <f aca="false">假设!$D$23+H29</f>
        <v>-295750</v>
      </c>
      <c r="I30" s="11" t="n">
        <f aca="false">假设!$D$23+I29</f>
        <v>-304200</v>
      </c>
      <c r="J30" s="11" t="n">
        <f aca="false">假设!$D$23+J29</f>
        <v>-306950</v>
      </c>
      <c r="K30" s="11" t="n">
        <f aca="false">假设!$D$23+K29</f>
        <v>-304000</v>
      </c>
      <c r="L30" s="11" t="n">
        <f aca="false">假设!$D$23+L29</f>
        <v>-295350</v>
      </c>
      <c r="M30" s="11" t="n">
        <f aca="false">假设!$D$23+M29</f>
        <v>-281000</v>
      </c>
      <c r="N30" s="11" t="n">
        <f aca="false">假设!$D$23+N29</f>
        <v>-260950</v>
      </c>
      <c r="O30" s="11" t="n">
        <f aca="false">假设!$D$23+O29</f>
        <v>-235200</v>
      </c>
      <c r="P30" s="11" t="n">
        <f aca="false">假设!$D$23+P29</f>
        <v>-203750</v>
      </c>
      <c r="Q30" s="11" t="n">
        <f aca="false">假设!$D$23+Q29</f>
        <v>-166600</v>
      </c>
      <c r="R30" s="11" t="n">
        <f aca="false">假设!$D$23+R29</f>
        <v>-123750</v>
      </c>
      <c r="S30" s="11" t="n">
        <f aca="false">假设!$D$23+S29</f>
        <v>-75200</v>
      </c>
      <c r="T30" s="11" t="n">
        <f aca="false">假设!$D$23+T29</f>
        <v>-20950</v>
      </c>
      <c r="U30" s="11" t="n">
        <f aca="false">假设!$D$23+U29</f>
        <v>40425</v>
      </c>
      <c r="V30" s="11" t="n">
        <f aca="false">假设!$D$23+V29</f>
        <v>108925</v>
      </c>
      <c r="W30" s="11" t="n">
        <f aca="false">假设!$D$23+W29</f>
        <v>184550</v>
      </c>
      <c r="X30" s="11" t="n">
        <f aca="false">假设!$D$23+X29</f>
        <v>267300</v>
      </c>
      <c r="Y30" s="11" t="n">
        <f aca="false">假设!$D$23+Y29</f>
        <v>357175</v>
      </c>
      <c r="Z30" s="11" t="n">
        <f aca="false">假设!$D$23+Z29</f>
        <v>454175</v>
      </c>
      <c r="AA30" s="11" t="n">
        <f aca="false">假设!$D$23+AA29</f>
        <v>558300</v>
      </c>
      <c r="AB30" s="11" t="n">
        <f aca="false">假设!$D$23+AB29</f>
        <v>669550</v>
      </c>
      <c r="AC30" s="11" t="n">
        <f aca="false">假设!$D$23+AC29</f>
        <v>787925</v>
      </c>
      <c r="AD30" s="11" t="n">
        <f aca="false">假设!$D$23+AD29</f>
        <v>913425</v>
      </c>
      <c r="AE30" s="11" t="n">
        <f aca="false">假设!$D$23+AE29</f>
        <v>1046050</v>
      </c>
      <c r="AF30" s="11" t="n">
        <f aca="false">假设!$D$23+AF29</f>
        <v>1185800</v>
      </c>
      <c r="AG30" s="11" t="n">
        <f aca="false">假设!$D$23+AG29</f>
        <v>1332675</v>
      </c>
      <c r="AH30" s="11" t="n">
        <f aca="false">假设!$D$23+AH29</f>
        <v>1486675</v>
      </c>
      <c r="AI30" s="11" t="n">
        <f aca="false">假设!$D$23+AI29</f>
        <v>1640675</v>
      </c>
      <c r="AJ30" s="11" t="n">
        <f aca="false">假设!$D$23+AJ29</f>
        <v>1794675</v>
      </c>
      <c r="AK30" s="11" t="n">
        <f aca="false">假设!$D$23+AK29</f>
        <v>1948675</v>
      </c>
      <c r="AL30" s="11" t="n">
        <f aca="false">假设!$D$23+AL29</f>
        <v>2102675</v>
      </c>
      <c r="AM30" s="11" t="n">
        <f aca="false">假设!$D$23+AM29</f>
        <v>2256675</v>
      </c>
      <c r="AN30" s="3"/>
    </row>
    <row r="31" customFormat="false" ht="24" hidden="false" customHeight="true" outlineLevel="0" collapsed="false">
      <c r="A31" s="1"/>
      <c r="B31" s="1"/>
      <c r="C31" s="8" t="s">
        <v>186</v>
      </c>
      <c r="D31" s="11" t="n">
        <f aca="false">IF(AND(D$5&gt;假设!$D$25,D29&gt;=0),D$5,999)</f>
        <v>999</v>
      </c>
      <c r="E31" s="11" t="n">
        <f aca="false">IF(AND(E$5&gt;假设!$D$25,E29&gt;=0),E$5,999)</f>
        <v>999</v>
      </c>
      <c r="F31" s="11" t="n">
        <f aca="false">IF(AND(F$5&gt;假设!$D$25,F29&gt;=0),F$5,999)</f>
        <v>999</v>
      </c>
      <c r="G31" s="11" t="n">
        <f aca="false">IF(AND(G$5&gt;假设!$D$25,G29&gt;=0),G$5,999)</f>
        <v>999</v>
      </c>
      <c r="H31" s="11" t="n">
        <f aca="false">IF(AND(H$5&gt;假设!$D$25,H29&gt;=0),H$5,999)</f>
        <v>999</v>
      </c>
      <c r="I31" s="11" t="n">
        <f aca="false">IF(AND(I$5&gt;假设!$D$25,I29&gt;=0),I$5,999)</f>
        <v>999</v>
      </c>
      <c r="J31" s="11" t="n">
        <f aca="false">IF(AND(J$5&gt;假设!$D$25,J29&gt;=0),J$5,999)</f>
        <v>999</v>
      </c>
      <c r="K31" s="11" t="n">
        <f aca="false">IF(AND(K$5&gt;假设!$D$25,K29&gt;=0),K$5,999)</f>
        <v>999</v>
      </c>
      <c r="L31" s="11" t="n">
        <f aca="false">IF(AND(L$5&gt;假设!$D$25,L29&gt;=0),L$5,999)</f>
        <v>999</v>
      </c>
      <c r="M31" s="11" t="n">
        <f aca="false">IF(AND(M$5&gt;假设!$D$25,M29&gt;=0),M$5,999)</f>
        <v>999</v>
      </c>
      <c r="N31" s="11" t="n">
        <f aca="false">IF(AND(N$5&gt;假设!$D$25,N29&gt;=0),N$5,999)</f>
        <v>999</v>
      </c>
      <c r="O31" s="11" t="n">
        <f aca="false">IF(AND(O$5&gt;假设!$D$25,O29&gt;=0),O$5,999)</f>
        <v>999</v>
      </c>
      <c r="P31" s="11" t="n">
        <f aca="false">IF(AND(P$5&gt;假设!$D$25,P29&gt;=0),P$5,999)</f>
        <v>999</v>
      </c>
      <c r="Q31" s="11" t="n">
        <f aca="false">IF(AND(Q$5&gt;假设!$D$25,Q29&gt;=0),Q$5,999)</f>
        <v>999</v>
      </c>
      <c r="R31" s="11" t="n">
        <f aca="false">IF(AND(R$5&gt;假设!$D$25,R29&gt;=0),R$5,999)</f>
        <v>999</v>
      </c>
      <c r="S31" s="11" t="n">
        <f aca="false">IF(AND(S$5&gt;假设!$D$25,S29&gt;=0),S$5,999)</f>
        <v>999</v>
      </c>
      <c r="T31" s="11" t="n">
        <f aca="false">IF(AND(T$5&gt;假设!$D$25,T29&gt;=0),T$5,999)</f>
        <v>999</v>
      </c>
      <c r="U31" s="11" t="n">
        <f aca="false">IF(AND(U$5&gt;假设!$D$25,U29&gt;=0),U$5,999)</f>
        <v>18</v>
      </c>
      <c r="V31" s="11" t="n">
        <f aca="false">IF(AND(V$5&gt;假设!$D$25,V29&gt;=0),V$5,999)</f>
        <v>19</v>
      </c>
      <c r="W31" s="11" t="n">
        <f aca="false">IF(AND(W$5&gt;假设!$D$25,W29&gt;=0),W$5,999)</f>
        <v>20</v>
      </c>
      <c r="X31" s="11" t="n">
        <f aca="false">IF(AND(X$5&gt;假设!$D$25,X29&gt;=0),X$5,999)</f>
        <v>21</v>
      </c>
      <c r="Y31" s="11" t="n">
        <f aca="false">IF(AND(Y$5&gt;假设!$D$25,Y29&gt;=0),Y$5,999)</f>
        <v>22</v>
      </c>
      <c r="Z31" s="11" t="n">
        <f aca="false">IF(AND(Z$5&gt;假设!$D$25,Z29&gt;=0),Z$5,999)</f>
        <v>23</v>
      </c>
      <c r="AA31" s="11" t="n">
        <f aca="false">IF(AND(AA$5&gt;假设!$D$25,AA29&gt;=0),AA$5,999)</f>
        <v>24</v>
      </c>
      <c r="AB31" s="11" t="n">
        <f aca="false">IF(AND(AB$5&gt;假设!$D$25,AB29&gt;=0),AB$5,999)</f>
        <v>25</v>
      </c>
      <c r="AC31" s="11" t="n">
        <f aca="false">IF(AND(AC$5&gt;假设!$D$25,AC29&gt;=0),AC$5,999)</f>
        <v>26</v>
      </c>
      <c r="AD31" s="11" t="n">
        <f aca="false">IF(AND(AD$5&gt;假设!$D$25,AD29&gt;=0),AD$5,999)</f>
        <v>27</v>
      </c>
      <c r="AE31" s="11" t="n">
        <f aca="false">IF(AND(AE$5&gt;假设!$D$25,AE29&gt;=0),AE$5,999)</f>
        <v>28</v>
      </c>
      <c r="AF31" s="11" t="n">
        <f aca="false">IF(AND(AF$5&gt;假设!$D$25,AF29&gt;=0),AF$5,999)</f>
        <v>29</v>
      </c>
      <c r="AG31" s="11" t="n">
        <f aca="false">IF(AND(AG$5&gt;假设!$D$25,AG29&gt;=0),AG$5,999)</f>
        <v>30</v>
      </c>
      <c r="AH31" s="11" t="n">
        <f aca="false">IF(AND(AH$5&gt;假设!$D$25,AH29&gt;=0),AH$5,999)</f>
        <v>31</v>
      </c>
      <c r="AI31" s="11" t="n">
        <f aca="false">IF(AND(AI$5&gt;假设!$D$25,AI29&gt;=0),AI$5,999)</f>
        <v>32</v>
      </c>
      <c r="AJ31" s="11" t="n">
        <f aca="false">IF(AND(AJ$5&gt;假设!$D$25,AJ29&gt;=0),AJ$5,999)</f>
        <v>33</v>
      </c>
      <c r="AK31" s="11" t="n">
        <f aca="false">IF(AND(AK$5&gt;假设!$D$25,AK29&gt;=0),AK$5,999)</f>
        <v>34</v>
      </c>
      <c r="AL31" s="11" t="n">
        <f aca="false">IF(AND(AL$5&gt;假设!$D$25,AL29&gt;=0),AL$5,999)</f>
        <v>35</v>
      </c>
      <c r="AM31" s="11" t="n">
        <f aca="false">IF(AND(AM$5&gt;假设!$D$25,AM29&gt;=0),AM$5,999)</f>
        <v>36</v>
      </c>
      <c r="AN31" s="3"/>
    </row>
    <row r="32" customFormat="false" ht="24" hidden="false" customHeight="true" outlineLevel="0" collapsed="false">
      <c r="A32" s="1"/>
      <c r="B32" s="1"/>
      <c r="C32" s="8" t="s">
        <v>187</v>
      </c>
      <c r="D32" s="11" t="n">
        <f aca="false">IF(AND(D$5&gt;假设!$D$25,D24&gt;=0),D$5,999)</f>
        <v>999</v>
      </c>
      <c r="E32" s="11" t="n">
        <f aca="false">IF(AND(E$5&gt;假设!$D$25,E24&gt;=0),E$5,999)</f>
        <v>999</v>
      </c>
      <c r="F32" s="11" t="n">
        <f aca="false">IF(AND(F$5&gt;假设!$D$25,F24&gt;=0),F$5,999)</f>
        <v>999</v>
      </c>
      <c r="G32" s="11" t="n">
        <f aca="false">IF(AND(G$5&gt;假设!$D$25,G24&gt;=0),G$5,999)</f>
        <v>999</v>
      </c>
      <c r="H32" s="11" t="n">
        <f aca="false">IF(AND(H$5&gt;假设!$D$25,H24&gt;=0),H$5,999)</f>
        <v>999</v>
      </c>
      <c r="I32" s="11" t="n">
        <f aca="false">IF(AND(I$5&gt;假设!$D$25,I24&gt;=0),I$5,999)</f>
        <v>999</v>
      </c>
      <c r="J32" s="11" t="n">
        <f aca="false">IF(AND(J$5&gt;假设!$D$25,J24&gt;=0),J$5,999)</f>
        <v>999</v>
      </c>
      <c r="K32" s="11" t="n">
        <f aca="false">IF(AND(K$5&gt;假设!$D$25,K24&gt;=0),K$5,999)</f>
        <v>8</v>
      </c>
      <c r="L32" s="11" t="n">
        <f aca="false">IF(AND(L$5&gt;假设!$D$25,L24&gt;=0),L$5,999)</f>
        <v>9</v>
      </c>
      <c r="M32" s="11" t="n">
        <f aca="false">IF(AND(M$5&gt;假设!$D$25,M24&gt;=0),M$5,999)</f>
        <v>10</v>
      </c>
      <c r="N32" s="11" t="n">
        <f aca="false">IF(AND(N$5&gt;假设!$D$25,N24&gt;=0),N$5,999)</f>
        <v>11</v>
      </c>
      <c r="O32" s="11" t="n">
        <f aca="false">IF(AND(O$5&gt;假设!$D$25,O24&gt;=0),O$5,999)</f>
        <v>12</v>
      </c>
      <c r="P32" s="11" t="n">
        <f aca="false">IF(AND(P$5&gt;假设!$D$25,P24&gt;=0),P$5,999)</f>
        <v>13</v>
      </c>
      <c r="Q32" s="11" t="n">
        <f aca="false">IF(AND(Q$5&gt;假设!$D$25,Q24&gt;=0),Q$5,999)</f>
        <v>14</v>
      </c>
      <c r="R32" s="11" t="n">
        <f aca="false">IF(AND(R$5&gt;假设!$D$25,R24&gt;=0),R$5,999)</f>
        <v>15</v>
      </c>
      <c r="S32" s="11" t="n">
        <f aca="false">IF(AND(S$5&gt;假设!$D$25,S24&gt;=0),S$5,999)</f>
        <v>16</v>
      </c>
      <c r="T32" s="11" t="n">
        <f aca="false">IF(AND(T$5&gt;假设!$D$25,T24&gt;=0),T$5,999)</f>
        <v>17</v>
      </c>
      <c r="U32" s="11" t="n">
        <f aca="false">IF(AND(U$5&gt;假设!$D$25,U24&gt;=0),U$5,999)</f>
        <v>18</v>
      </c>
      <c r="V32" s="11" t="n">
        <f aca="false">IF(AND(V$5&gt;假设!$D$25,V24&gt;=0),V$5,999)</f>
        <v>19</v>
      </c>
      <c r="W32" s="11" t="n">
        <f aca="false">IF(AND(W$5&gt;假设!$D$25,W24&gt;=0),W$5,999)</f>
        <v>20</v>
      </c>
      <c r="X32" s="11" t="n">
        <f aca="false">IF(AND(X$5&gt;假设!$D$25,X24&gt;=0),X$5,999)</f>
        <v>21</v>
      </c>
      <c r="Y32" s="11" t="n">
        <f aca="false">IF(AND(Y$5&gt;假设!$D$25,Y24&gt;=0),Y$5,999)</f>
        <v>22</v>
      </c>
      <c r="Z32" s="11" t="n">
        <f aca="false">IF(AND(Z$5&gt;假设!$D$25,Z24&gt;=0),Z$5,999)</f>
        <v>23</v>
      </c>
      <c r="AA32" s="11" t="n">
        <f aca="false">IF(AND(AA$5&gt;假设!$D$25,AA24&gt;=0),AA$5,999)</f>
        <v>24</v>
      </c>
      <c r="AB32" s="11" t="n">
        <f aca="false">IF(AND(AB$5&gt;假设!$D$25,AB24&gt;=0),AB$5,999)</f>
        <v>25</v>
      </c>
      <c r="AC32" s="11" t="n">
        <f aca="false">IF(AND(AC$5&gt;假设!$D$25,AC24&gt;=0),AC$5,999)</f>
        <v>26</v>
      </c>
      <c r="AD32" s="11" t="n">
        <f aca="false">IF(AND(AD$5&gt;假设!$D$25,AD24&gt;=0),AD$5,999)</f>
        <v>27</v>
      </c>
      <c r="AE32" s="11" t="n">
        <f aca="false">IF(AND(AE$5&gt;假设!$D$25,AE24&gt;=0),AE$5,999)</f>
        <v>28</v>
      </c>
      <c r="AF32" s="11" t="n">
        <f aca="false">IF(AND(AF$5&gt;假设!$D$25,AF24&gt;=0),AF$5,999)</f>
        <v>29</v>
      </c>
      <c r="AG32" s="11" t="n">
        <f aca="false">IF(AND(AG$5&gt;假设!$D$25,AG24&gt;=0),AG$5,999)</f>
        <v>30</v>
      </c>
      <c r="AH32" s="11" t="n">
        <f aca="false">IF(AND(AH$5&gt;假设!$D$25,AH24&gt;=0),AH$5,999)</f>
        <v>31</v>
      </c>
      <c r="AI32" s="11" t="n">
        <f aca="false">IF(AND(AI$5&gt;假设!$D$25,AI24&gt;=0),AI$5,999)</f>
        <v>32</v>
      </c>
      <c r="AJ32" s="11" t="n">
        <f aca="false">IF(AND(AJ$5&gt;假设!$D$25,AJ24&gt;=0),AJ$5,999)</f>
        <v>33</v>
      </c>
      <c r="AK32" s="11" t="n">
        <f aca="false">IF(AND(AK$5&gt;假设!$D$25,AK24&gt;=0),AK$5,999)</f>
        <v>34</v>
      </c>
      <c r="AL32" s="11" t="n">
        <f aca="false">IF(AND(AL$5&gt;假设!$D$25,AL24&gt;=0),AL$5,999)</f>
        <v>35</v>
      </c>
      <c r="AM32" s="11" t="n">
        <f aca="false">IF(AND(AM$5&gt;假设!$D$25,AM24&gt;=0),AM$5,999)</f>
        <v>36</v>
      </c>
      <c r="AN32" s="3"/>
    </row>
    <row r="33" customFormat="false" ht="24" hidden="false" customHeight="true" outlineLevel="0" collapsed="false">
      <c r="A33" s="1"/>
      <c r="B33" s="1"/>
      <c r="C33" s="8" t="s">
        <v>188</v>
      </c>
      <c r="D33" s="11" t="n">
        <f aca="false">IF(假设!$D$52=0,D14,0)</f>
        <v>0</v>
      </c>
      <c r="E33" s="11" t="n">
        <f aca="false">IF(假设!$D$52=0,E14,D14)</f>
        <v>0</v>
      </c>
      <c r="F33" s="11" t="n">
        <f aca="false">IF(假设!$D$52=0,F14,E14)</f>
        <v>0</v>
      </c>
      <c r="G33" s="11" t="n">
        <f aca="false">IF(假设!$D$52=0,G14,F14)</f>
        <v>0</v>
      </c>
      <c r="H33" s="11" t="n">
        <f aca="false">IF(假设!$D$52=0,H14,G14)</f>
        <v>18000</v>
      </c>
      <c r="I33" s="11" t="n">
        <f aca="false">IF(假设!$D$52=0,I14,H14)</f>
        <v>30000</v>
      </c>
      <c r="J33" s="11" t="n">
        <f aca="false">IF(假设!$D$52=0,J14,I14)</f>
        <v>42000</v>
      </c>
      <c r="K33" s="11" t="n">
        <f aca="false">IF(假设!$D$52=0,K14,J14)</f>
        <v>54000</v>
      </c>
      <c r="L33" s="11" t="n">
        <f aca="false">IF(假设!$D$52=0,L14,K14)</f>
        <v>66000</v>
      </c>
      <c r="M33" s="11" t="n">
        <f aca="false">IF(假设!$D$52=0,M14,L14)</f>
        <v>78000</v>
      </c>
      <c r="N33" s="11" t="n">
        <f aca="false">IF(假设!$D$52=0,N14,M14)</f>
        <v>90000</v>
      </c>
      <c r="O33" s="11" t="n">
        <f aca="false">IF(假设!$D$52=0,O14,N14)</f>
        <v>102000</v>
      </c>
      <c r="P33" s="11" t="n">
        <f aca="false">IF(假设!$D$52=0,P14,O14)</f>
        <v>114000</v>
      </c>
      <c r="Q33" s="11" t="n">
        <f aca="false">IF(假设!$D$52=0,Q14,P14)</f>
        <v>126000</v>
      </c>
      <c r="R33" s="11" t="n">
        <f aca="false">IF(假设!$D$52=0,R14,Q14)</f>
        <v>138000</v>
      </c>
      <c r="S33" s="11" t="n">
        <f aca="false">IF(假设!$D$52=0,S14,R14)</f>
        <v>150000</v>
      </c>
      <c r="T33" s="11" t="n">
        <f aca="false">IF(假设!$D$52=0,T14,S14)</f>
        <v>165000</v>
      </c>
      <c r="U33" s="11" t="n">
        <f aca="false">IF(假设!$D$52=0,U14,T14)</f>
        <v>180000</v>
      </c>
      <c r="V33" s="11" t="n">
        <f aca="false">IF(假设!$D$52=0,V14,U14)</f>
        <v>195000</v>
      </c>
      <c r="W33" s="11" t="n">
        <f aca="false">IF(假设!$D$52=0,W14,V14)</f>
        <v>210000</v>
      </c>
      <c r="X33" s="11" t="n">
        <f aca="false">IF(假设!$D$52=0,X14,W14)</f>
        <v>225000</v>
      </c>
      <c r="Y33" s="11" t="n">
        <f aca="false">IF(假设!$D$52=0,Y14,X14)</f>
        <v>240000</v>
      </c>
      <c r="Z33" s="11" t="n">
        <f aca="false">IF(假设!$D$52=0,Z14,Y14)</f>
        <v>255000</v>
      </c>
      <c r="AA33" s="11" t="n">
        <f aca="false">IF(假设!$D$52=0,AA14,Z14)</f>
        <v>270000</v>
      </c>
      <c r="AB33" s="11" t="n">
        <f aca="false">IF(假设!$D$52=0,AB14,AA14)</f>
        <v>285000</v>
      </c>
      <c r="AC33" s="11" t="n">
        <f aca="false">IF(假设!$D$52=0,AC14,AB14)</f>
        <v>300000</v>
      </c>
      <c r="AD33" s="11" t="n">
        <f aca="false">IF(假设!$D$52=0,AD14,AC14)</f>
        <v>315000</v>
      </c>
      <c r="AE33" s="11" t="n">
        <f aca="false">IF(假设!$D$52=0,AE14,AD14)</f>
        <v>330000</v>
      </c>
      <c r="AF33" s="11" t="n">
        <f aca="false">IF(假设!$D$52=0,AF14,AE14)</f>
        <v>345000</v>
      </c>
      <c r="AG33" s="11" t="n">
        <f aca="false">IF(假设!$D$52=0,AG14,AF14)</f>
        <v>360000</v>
      </c>
      <c r="AH33" s="11" t="n">
        <f aca="false">IF(假设!$D$52=0,AH14,AG14)</f>
        <v>360000</v>
      </c>
      <c r="AI33" s="11" t="n">
        <f aca="false">IF(假设!$D$52=0,AI14,AH14)</f>
        <v>360000</v>
      </c>
      <c r="AJ33" s="11" t="n">
        <f aca="false">IF(假设!$D$52=0,AJ14,AI14)</f>
        <v>360000</v>
      </c>
      <c r="AK33" s="11" t="n">
        <f aca="false">IF(假设!$D$52=0,AK14,AJ14)</f>
        <v>360000</v>
      </c>
      <c r="AL33" s="11" t="n">
        <f aca="false">IF(假设!$D$52=0,AL14,AK14)</f>
        <v>360000</v>
      </c>
      <c r="AM33" s="11" t="n">
        <f aca="false">IF(假设!$D$52=0,AM14,AL14)</f>
        <v>360000</v>
      </c>
      <c r="AN33" s="3"/>
    </row>
    <row r="34" customFormat="false" ht="24" hidden="false" customHeight="true" outlineLevel="0" collapsed="false">
      <c r="A34" s="1"/>
      <c r="B34" s="1"/>
      <c r="C34" s="8" t="s">
        <v>189</v>
      </c>
      <c r="D34" s="2" t="n">
        <f aca="false">D14-D33</f>
        <v>0</v>
      </c>
      <c r="E34" s="2" t="n">
        <f aca="false">D34+E14-E33</f>
        <v>0</v>
      </c>
      <c r="F34" s="2" t="n">
        <f aca="false">E34+F14-F33</f>
        <v>0</v>
      </c>
      <c r="G34" s="2" t="n">
        <f aca="false">F34+G14-G33</f>
        <v>0</v>
      </c>
      <c r="H34" s="2" t="n">
        <f aca="false">G34+H14-H33</f>
        <v>0</v>
      </c>
      <c r="I34" s="2" t="n">
        <f aca="false">H34+I14-I33</f>
        <v>0</v>
      </c>
      <c r="J34" s="2" t="n">
        <f aca="false">I34+J14-J33</f>
        <v>0</v>
      </c>
      <c r="K34" s="2" t="n">
        <f aca="false">J34+K14-K33</f>
        <v>0</v>
      </c>
      <c r="L34" s="2" t="n">
        <f aca="false">K34+L14-L33</f>
        <v>0</v>
      </c>
      <c r="M34" s="2" t="n">
        <f aca="false">L34+M14-M33</f>
        <v>0</v>
      </c>
      <c r="N34" s="2" t="n">
        <f aca="false">M34+N14-N33</f>
        <v>0</v>
      </c>
      <c r="O34" s="2" t="n">
        <f aca="false">N34+O14-O33</f>
        <v>0</v>
      </c>
      <c r="P34" s="2" t="n">
        <f aca="false">O34+P14-P33</f>
        <v>0</v>
      </c>
      <c r="Q34" s="2" t="n">
        <f aca="false">P34+Q14-Q33</f>
        <v>0</v>
      </c>
      <c r="R34" s="2" t="n">
        <f aca="false">Q34+R14-R33</f>
        <v>0</v>
      </c>
      <c r="S34" s="2" t="n">
        <f aca="false">R34+S14-S33</f>
        <v>0</v>
      </c>
      <c r="T34" s="2" t="n">
        <f aca="false">S34+T14-T33</f>
        <v>0</v>
      </c>
      <c r="U34" s="2" t="n">
        <f aca="false">T34+U14-U33</f>
        <v>0</v>
      </c>
      <c r="V34" s="2" t="n">
        <f aca="false">U34+V14-V33</f>
        <v>0</v>
      </c>
      <c r="W34" s="2" t="n">
        <f aca="false">V34+W14-W33</f>
        <v>0</v>
      </c>
      <c r="X34" s="2" t="n">
        <f aca="false">W34+X14-X33</f>
        <v>0</v>
      </c>
      <c r="Y34" s="2" t="n">
        <f aca="false">X34+Y14-Y33</f>
        <v>0</v>
      </c>
      <c r="Z34" s="2" t="n">
        <f aca="false">Y34+Z14-Z33</f>
        <v>0</v>
      </c>
      <c r="AA34" s="2" t="n">
        <f aca="false">Z34+AA14-AA33</f>
        <v>0</v>
      </c>
      <c r="AB34" s="2" t="n">
        <f aca="false">AA34+AB14-AB33</f>
        <v>0</v>
      </c>
      <c r="AC34" s="2" t="n">
        <f aca="false">AB34+AC14-AC33</f>
        <v>0</v>
      </c>
      <c r="AD34" s="2" t="n">
        <f aca="false">AC34+AD14-AD33</f>
        <v>0</v>
      </c>
      <c r="AE34" s="2" t="n">
        <f aca="false">AD34+AE14-AE33</f>
        <v>0</v>
      </c>
      <c r="AF34" s="2" t="n">
        <f aca="false">AE34+AF14-AF33</f>
        <v>0</v>
      </c>
      <c r="AG34" s="2" t="n">
        <f aca="false">AF34+AG14-AG33</f>
        <v>0</v>
      </c>
      <c r="AH34" s="2" t="n">
        <f aca="false">AG34+AH14-AH33</f>
        <v>0</v>
      </c>
      <c r="AI34" s="2" t="n">
        <f aca="false">AH34+AI14-AI33</f>
        <v>0</v>
      </c>
      <c r="AJ34" s="2" t="n">
        <f aca="false">AI34+AJ14-AJ33</f>
        <v>0</v>
      </c>
      <c r="AK34" s="2" t="n">
        <f aca="false">AJ34+AK14-AK33</f>
        <v>0</v>
      </c>
      <c r="AL34" s="2" t="n">
        <f aca="false">AK34+AL14-AL33</f>
        <v>0</v>
      </c>
      <c r="AM34" s="2" t="n">
        <f aca="false">AL34+AM14-AM33</f>
        <v>0</v>
      </c>
      <c r="AN34" s="3"/>
    </row>
    <row r="35" customFormat="false" ht="24" hidden="false" customHeight="true" outlineLevel="0" collapsed="false">
      <c r="A35" s="1"/>
      <c r="B35" s="1"/>
      <c r="C35" s="21" t="s">
        <v>190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</row>
    <row r="36" customFormat="false" ht="24" hidden="false" customHeight="true" outlineLevel="0" collapsed="false">
      <c r="A36" s="1"/>
      <c r="B36" s="1"/>
      <c r="C36" s="5" t="s">
        <v>191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</row>
    <row r="37" customFormat="false" ht="24" hidden="false" customHeight="true" outlineLevel="0" collapsed="false">
      <c r="A37" s="1"/>
      <c r="B37" s="1"/>
      <c r="C37" s="5" t="s">
        <v>192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customFormat="false" ht="24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customFormat="false" ht="24" hidden="false" customHeight="true" outlineLevel="0" collapsed="false">
      <c r="A39" s="1"/>
      <c r="B39" s="1"/>
      <c r="C39" s="8" t="s">
        <v>193</v>
      </c>
      <c r="D39" s="20" t="n">
        <f aca="false">假设!$D$50</f>
        <v>0.03</v>
      </c>
      <c r="E39" s="20" t="n">
        <f aca="false">假设!$D$50</f>
        <v>0.03</v>
      </c>
      <c r="F39" s="20" t="n">
        <f aca="false">假设!$D$50</f>
        <v>0.03</v>
      </c>
      <c r="G39" s="20" t="n">
        <f aca="false">假设!$D$50</f>
        <v>0.03</v>
      </c>
      <c r="H39" s="20" t="n">
        <f aca="false">假设!$D$50</f>
        <v>0.03</v>
      </c>
      <c r="I39" s="20" t="n">
        <f aca="false">假设!$D$50</f>
        <v>0.03</v>
      </c>
      <c r="J39" s="20" t="n">
        <f aca="false">假设!$D$50</f>
        <v>0.03</v>
      </c>
      <c r="K39" s="20" t="n">
        <f aca="false">假设!$D$50</f>
        <v>0.03</v>
      </c>
      <c r="L39" s="20" t="n">
        <f aca="false">假设!$D$50</f>
        <v>0.03</v>
      </c>
      <c r="M39" s="20" t="n">
        <f aca="false">假设!$D$50</f>
        <v>0.03</v>
      </c>
      <c r="N39" s="20" t="n">
        <f aca="false">假设!$D$50</f>
        <v>0.03</v>
      </c>
      <c r="O39" s="20" t="n">
        <f aca="false">假设!$D$50</f>
        <v>0.03</v>
      </c>
      <c r="P39" s="20" t="n">
        <f aca="false">假设!$D$50</f>
        <v>0.03</v>
      </c>
      <c r="Q39" s="20" t="n">
        <f aca="false">假设!$D$50</f>
        <v>0.03</v>
      </c>
      <c r="R39" s="20" t="n">
        <f aca="false">假设!$D$50</f>
        <v>0.03</v>
      </c>
      <c r="S39" s="20" t="n">
        <f aca="false">假设!$D$50</f>
        <v>0.03</v>
      </c>
      <c r="T39" s="20" t="n">
        <f aca="false">假设!$D$50</f>
        <v>0.03</v>
      </c>
      <c r="U39" s="20" t="n">
        <f aca="false">假设!$D$50</f>
        <v>0.03</v>
      </c>
      <c r="V39" s="20" t="n">
        <f aca="false">假设!$D$50</f>
        <v>0.03</v>
      </c>
      <c r="W39" s="20" t="n">
        <f aca="false">假设!$D$50</f>
        <v>0.03</v>
      </c>
      <c r="X39" s="20" t="n">
        <f aca="false">假设!$D$50</f>
        <v>0.03</v>
      </c>
      <c r="Y39" s="20" t="n">
        <f aca="false">假设!$D$50</f>
        <v>0.03</v>
      </c>
      <c r="Z39" s="20" t="n">
        <f aca="false">假设!$D$50</f>
        <v>0.03</v>
      </c>
      <c r="AA39" s="20" t="n">
        <f aca="false">假设!$D$50</f>
        <v>0.03</v>
      </c>
      <c r="AB39" s="20" t="n">
        <f aca="false">假设!$D$50</f>
        <v>0.03</v>
      </c>
      <c r="AC39" s="20" t="n">
        <f aca="false">假设!$D$50</f>
        <v>0.03</v>
      </c>
      <c r="AD39" s="20" t="n">
        <f aca="false">假设!$D$50</f>
        <v>0.03</v>
      </c>
      <c r="AE39" s="20" t="n">
        <f aca="false">假设!$D$50</f>
        <v>0.03</v>
      </c>
      <c r="AF39" s="20" t="n">
        <f aca="false">假设!$D$50</f>
        <v>0.03</v>
      </c>
      <c r="AG39" s="20" t="n">
        <f aca="false">假设!$D$50</f>
        <v>0.03</v>
      </c>
      <c r="AH39" s="20" t="n">
        <f aca="false">假设!$D$50</f>
        <v>0.03</v>
      </c>
      <c r="AI39" s="20" t="n">
        <f aca="false">假设!$D$50</f>
        <v>0.03</v>
      </c>
      <c r="AJ39" s="20" t="n">
        <f aca="false">假设!$D$50</f>
        <v>0.03</v>
      </c>
      <c r="AK39" s="20" t="n">
        <f aca="false">假设!$D$50</f>
        <v>0.03</v>
      </c>
      <c r="AL39" s="20" t="n">
        <f aca="false">假设!$D$50</f>
        <v>0.03</v>
      </c>
      <c r="AM39" s="20" t="n">
        <f aca="false">假设!$D$50</f>
        <v>0.03</v>
      </c>
      <c r="AN39" s="3"/>
    </row>
    <row r="40" customFormat="false" ht="24" hidden="false" customHeight="true" outlineLevel="0" collapsed="false">
      <c r="A40" s="1"/>
      <c r="B40" s="1"/>
      <c r="C40" s="8" t="s">
        <v>194</v>
      </c>
      <c r="D40" s="11" t="n">
        <f aca="false">D28-(单位经济!$D$7*D39+假设!$D$51-假设!$D$11)*D6</f>
        <v>-59437.5</v>
      </c>
      <c r="E40" s="11" t="n">
        <f aca="false">E28-(单位经济!$D$7*E39+假设!$D$51-假设!$D$11)*E6</f>
        <v>-59437.5</v>
      </c>
      <c r="F40" s="11" t="n">
        <f aca="false">F28-(单位经济!$D$7*F39+假设!$D$51-假设!$D$11)*F6</f>
        <v>-59437.5</v>
      </c>
      <c r="G40" s="11" t="n">
        <f aca="false">G28-(单位经济!$D$7*G39+假设!$D$51-假设!$D$11)*G6</f>
        <v>-59437.5</v>
      </c>
      <c r="H40" s="11" t="n">
        <f aca="false">H28-(单位经济!$D$7*H39+假设!$D$51-假设!$D$11)*H6</f>
        <v>-60340</v>
      </c>
      <c r="I40" s="11" t="n">
        <f aca="false">I28-(单位经济!$D$7*I39+假设!$D$51-假设!$D$11)*I6</f>
        <v>-12350</v>
      </c>
      <c r="J40" s="11" t="n">
        <f aca="false">J28-(单位经济!$D$7*J39+假设!$D$51-假设!$D$11)*J6</f>
        <v>-8210</v>
      </c>
      <c r="K40" s="11" t="n">
        <f aca="false">K28-(单位经济!$D$7*K39+假设!$D$51-假设!$D$11)*K6</f>
        <v>-4070</v>
      </c>
      <c r="L40" s="11" t="n">
        <f aca="false">L28-(单位经济!$D$7*L39+假设!$D$51-假设!$D$11)*L6</f>
        <v>70</v>
      </c>
      <c r="M40" s="11" t="n">
        <f aca="false">M28-(单位经济!$D$7*M39+假设!$D$51-假设!$D$11)*M6</f>
        <v>4210</v>
      </c>
      <c r="N40" s="11" t="n">
        <f aca="false">N28-(单位经济!$D$7*N39+假设!$D$51-假设!$D$11)*N6</f>
        <v>8350</v>
      </c>
      <c r="O40" s="11" t="n">
        <f aca="false">O28-(单位经济!$D$7*O39+假设!$D$51-假设!$D$11)*O6</f>
        <v>12490</v>
      </c>
      <c r="P40" s="11" t="n">
        <f aca="false">P28-(单位经济!$D$7*P39+假设!$D$51-假设!$D$11)*P6</f>
        <v>16630</v>
      </c>
      <c r="Q40" s="11" t="n">
        <f aca="false">Q28-(单位经济!$D$7*Q39+假设!$D$51-假设!$D$11)*Q6</f>
        <v>20770</v>
      </c>
      <c r="R40" s="11" t="n">
        <f aca="false">R28-(单位经济!$D$7*R39+假设!$D$51-假设!$D$11)*R6</f>
        <v>24910</v>
      </c>
      <c r="S40" s="11" t="n">
        <f aca="false">S28-(单位经济!$D$7*S39+假设!$D$51-假设!$D$11)*S6</f>
        <v>29050</v>
      </c>
      <c r="T40" s="11" t="n">
        <f aca="false">T28-(单位经济!$D$7*T39+假设!$D$51-假设!$D$11)*T6</f>
        <v>32800</v>
      </c>
      <c r="U40" s="11" t="n">
        <f aca="false">U28-(单位经济!$D$7*U39+假设!$D$51-假设!$D$11)*U6</f>
        <v>37975</v>
      </c>
      <c r="V40" s="11" t="n">
        <f aca="false">V28-(单位经济!$D$7*V39+假设!$D$51-假设!$D$11)*V6</f>
        <v>43150</v>
      </c>
      <c r="W40" s="11" t="n">
        <f aca="false">W28-(单位经济!$D$7*W39+假设!$D$51-假设!$D$11)*W6</f>
        <v>48325</v>
      </c>
      <c r="X40" s="11" t="n">
        <f aca="false">X28-(单位经济!$D$7*X39+假设!$D$51-假设!$D$11)*X6</f>
        <v>53500</v>
      </c>
      <c r="Y40" s="11" t="n">
        <f aca="false">Y28-(单位经济!$D$7*Y39+假设!$D$51-假设!$D$11)*Y6</f>
        <v>58675</v>
      </c>
      <c r="Z40" s="11" t="n">
        <f aca="false">Z28-(单位经济!$D$7*Z39+假设!$D$51-假设!$D$11)*Z6</f>
        <v>63850</v>
      </c>
      <c r="AA40" s="11" t="n">
        <f aca="false">AA28-(单位经济!$D$7*AA39+假设!$D$51-假设!$D$11)*AA6</f>
        <v>69025</v>
      </c>
      <c r="AB40" s="11" t="n">
        <f aca="false">AB28-(单位经济!$D$7*AB39+假设!$D$51-假设!$D$11)*AB6</f>
        <v>74200</v>
      </c>
      <c r="AC40" s="11" t="n">
        <f aca="false">AC28-(单位经济!$D$7*AC39+假设!$D$51-假设!$D$11)*AC6</f>
        <v>79375</v>
      </c>
      <c r="AD40" s="11" t="n">
        <f aca="false">AD28-(单位经济!$D$7*AD39+假设!$D$51-假设!$D$11)*AD6</f>
        <v>84550</v>
      </c>
      <c r="AE40" s="11" t="n">
        <f aca="false">AE28-(单位经济!$D$7*AE39+假设!$D$51-假设!$D$11)*AE6</f>
        <v>89725</v>
      </c>
      <c r="AF40" s="11" t="n">
        <f aca="false">AF28-(单位经济!$D$7*AF39+假设!$D$51-假设!$D$11)*AF6</f>
        <v>94900</v>
      </c>
      <c r="AG40" s="11" t="n">
        <f aca="false">AG28-(单位经济!$D$7*AG39+假设!$D$51-假设!$D$11)*AG6</f>
        <v>100075</v>
      </c>
      <c r="AH40" s="11" t="n">
        <f aca="false">AH28-(单位经济!$D$7*AH39+假设!$D$51-假设!$D$11)*AH6</f>
        <v>107200</v>
      </c>
      <c r="AI40" s="11" t="n">
        <f aca="false">AI28-(单位经济!$D$7*AI39+假设!$D$51-假设!$D$11)*AI6</f>
        <v>107200</v>
      </c>
      <c r="AJ40" s="11" t="n">
        <f aca="false">AJ28-(单位经济!$D$7*AJ39+假设!$D$51-假设!$D$11)*AJ6</f>
        <v>107200</v>
      </c>
      <c r="AK40" s="11" t="n">
        <f aca="false">AK28-(单位经济!$D$7*AK39+假设!$D$51-假设!$D$11)*AK6</f>
        <v>107200</v>
      </c>
      <c r="AL40" s="11" t="n">
        <f aca="false">AL28-(单位经济!$D$7*AL39+假设!$D$51-假设!$D$11)*AL6</f>
        <v>107200</v>
      </c>
      <c r="AM40" s="11" t="n">
        <f aca="false">AM28-(单位经济!$D$7*AM39+假设!$D$51-假设!$D$11)*AM6</f>
        <v>107200</v>
      </c>
      <c r="AN40" s="3"/>
    </row>
    <row r="41" customFormat="false" ht="24" hidden="false" customHeight="true" outlineLevel="0" collapsed="false">
      <c r="A41" s="1"/>
      <c r="B41" s="1"/>
      <c r="C41" s="8" t="s">
        <v>195</v>
      </c>
      <c r="D41" s="2" t="n">
        <f aca="false">D40</f>
        <v>-59437.5</v>
      </c>
      <c r="E41" s="2" t="n">
        <f aca="false">D41+E40</f>
        <v>-118875</v>
      </c>
      <c r="F41" s="2" t="n">
        <f aca="false">E41+F40</f>
        <v>-178312.5</v>
      </c>
      <c r="G41" s="2" t="n">
        <f aca="false">F41+G40</f>
        <v>-237750</v>
      </c>
      <c r="H41" s="2" t="n">
        <f aca="false">G41+H40</f>
        <v>-298090</v>
      </c>
      <c r="I41" s="2" t="n">
        <f aca="false">H41+I40</f>
        <v>-310440</v>
      </c>
      <c r="J41" s="2" t="n">
        <f aca="false">I41+J40</f>
        <v>-318650</v>
      </c>
      <c r="K41" s="2" t="n">
        <f aca="false">J41+K40</f>
        <v>-322720</v>
      </c>
      <c r="L41" s="2" t="n">
        <f aca="false">K41+L40</f>
        <v>-322650</v>
      </c>
      <c r="M41" s="2" t="n">
        <f aca="false">L41+M40</f>
        <v>-318440</v>
      </c>
      <c r="N41" s="2" t="n">
        <f aca="false">M41+N40</f>
        <v>-310090</v>
      </c>
      <c r="O41" s="2" t="n">
        <f aca="false">N41+O40</f>
        <v>-297600</v>
      </c>
      <c r="P41" s="2" t="n">
        <f aca="false">O41+P40</f>
        <v>-280970</v>
      </c>
      <c r="Q41" s="2" t="n">
        <f aca="false">P41+Q40</f>
        <v>-260200</v>
      </c>
      <c r="R41" s="2" t="n">
        <f aca="false">Q41+R40</f>
        <v>-235290</v>
      </c>
      <c r="S41" s="2" t="n">
        <f aca="false">R41+S40</f>
        <v>-206240</v>
      </c>
      <c r="T41" s="2" t="n">
        <f aca="false">S41+T40</f>
        <v>-173440</v>
      </c>
      <c r="U41" s="2" t="n">
        <f aca="false">T41+U40</f>
        <v>-135465</v>
      </c>
      <c r="V41" s="2" t="n">
        <f aca="false">U41+V40</f>
        <v>-92315</v>
      </c>
      <c r="W41" s="2" t="n">
        <f aca="false">V41+W40</f>
        <v>-43990</v>
      </c>
      <c r="X41" s="2" t="n">
        <f aca="false">W41+X40</f>
        <v>9510</v>
      </c>
      <c r="Y41" s="2" t="n">
        <f aca="false">X41+Y40</f>
        <v>68185</v>
      </c>
      <c r="Z41" s="2" t="n">
        <f aca="false">Y41+Z40</f>
        <v>132035</v>
      </c>
      <c r="AA41" s="2" t="n">
        <f aca="false">Z41+AA40</f>
        <v>201060</v>
      </c>
      <c r="AB41" s="2" t="n">
        <f aca="false">AA41+AB40</f>
        <v>275260</v>
      </c>
      <c r="AC41" s="2" t="n">
        <f aca="false">AB41+AC40</f>
        <v>354635</v>
      </c>
      <c r="AD41" s="2" t="n">
        <f aca="false">AC41+AD40</f>
        <v>439185</v>
      </c>
      <c r="AE41" s="2" t="n">
        <f aca="false">AD41+AE40</f>
        <v>528910</v>
      </c>
      <c r="AF41" s="2" t="n">
        <f aca="false">AE41+AF40</f>
        <v>623810</v>
      </c>
      <c r="AG41" s="2" t="n">
        <f aca="false">AF41+AG40</f>
        <v>723885</v>
      </c>
      <c r="AH41" s="2" t="n">
        <f aca="false">AG41+AH40</f>
        <v>831085</v>
      </c>
      <c r="AI41" s="2" t="n">
        <f aca="false">AH41+AI40</f>
        <v>938285</v>
      </c>
      <c r="AJ41" s="2" t="n">
        <f aca="false">AI41+AJ40</f>
        <v>1045485</v>
      </c>
      <c r="AK41" s="2" t="n">
        <f aca="false">AJ41+AK40</f>
        <v>1152685</v>
      </c>
      <c r="AL41" s="2" t="n">
        <f aca="false">AK41+AL40</f>
        <v>1259885</v>
      </c>
      <c r="AM41" s="2" t="n">
        <f aca="false">AL41+AM40</f>
        <v>1367085</v>
      </c>
      <c r="AN41" s="3"/>
    </row>
    <row r="42" customFormat="false" ht="24" hidden="false" customHeight="true" outlineLevel="0" collapsed="false">
      <c r="A42" s="1"/>
      <c r="B42" s="1"/>
      <c r="C42" s="8" t="s">
        <v>196</v>
      </c>
      <c r="D42" s="11" t="n">
        <f aca="false">IF(AND(D$5&gt;假设!$D$25,D41&gt;=0),D$5,999)</f>
        <v>999</v>
      </c>
      <c r="E42" s="11" t="n">
        <f aca="false">IF(AND(E$5&gt;假设!$D$25,E41&gt;=0),E$5,999)</f>
        <v>999</v>
      </c>
      <c r="F42" s="11" t="n">
        <f aca="false">IF(AND(F$5&gt;假设!$D$25,F41&gt;=0),F$5,999)</f>
        <v>999</v>
      </c>
      <c r="G42" s="11" t="n">
        <f aca="false">IF(AND(G$5&gt;假设!$D$25,G41&gt;=0),G$5,999)</f>
        <v>999</v>
      </c>
      <c r="H42" s="11" t="n">
        <f aca="false">IF(AND(H$5&gt;假设!$D$25,H41&gt;=0),H$5,999)</f>
        <v>999</v>
      </c>
      <c r="I42" s="11" t="n">
        <f aca="false">IF(AND(I$5&gt;假设!$D$25,I41&gt;=0),I$5,999)</f>
        <v>999</v>
      </c>
      <c r="J42" s="11" t="n">
        <f aca="false">IF(AND(J$5&gt;假设!$D$25,J41&gt;=0),J$5,999)</f>
        <v>999</v>
      </c>
      <c r="K42" s="11" t="n">
        <f aca="false">IF(AND(K$5&gt;假设!$D$25,K41&gt;=0),K$5,999)</f>
        <v>999</v>
      </c>
      <c r="L42" s="11" t="n">
        <f aca="false">IF(AND(L$5&gt;假设!$D$25,L41&gt;=0),L$5,999)</f>
        <v>999</v>
      </c>
      <c r="M42" s="11" t="n">
        <f aca="false">IF(AND(M$5&gt;假设!$D$25,M41&gt;=0),M$5,999)</f>
        <v>999</v>
      </c>
      <c r="N42" s="11" t="n">
        <f aca="false">IF(AND(N$5&gt;假设!$D$25,N41&gt;=0),N$5,999)</f>
        <v>999</v>
      </c>
      <c r="O42" s="11" t="n">
        <f aca="false">IF(AND(O$5&gt;假设!$D$25,O41&gt;=0),O$5,999)</f>
        <v>999</v>
      </c>
      <c r="P42" s="11" t="n">
        <f aca="false">IF(AND(P$5&gt;假设!$D$25,P41&gt;=0),P$5,999)</f>
        <v>999</v>
      </c>
      <c r="Q42" s="11" t="n">
        <f aca="false">IF(AND(Q$5&gt;假设!$D$25,Q41&gt;=0),Q$5,999)</f>
        <v>999</v>
      </c>
      <c r="R42" s="11" t="n">
        <f aca="false">IF(AND(R$5&gt;假设!$D$25,R41&gt;=0),R$5,999)</f>
        <v>999</v>
      </c>
      <c r="S42" s="11" t="n">
        <f aca="false">IF(AND(S$5&gt;假设!$D$25,S41&gt;=0),S$5,999)</f>
        <v>999</v>
      </c>
      <c r="T42" s="11" t="n">
        <f aca="false">IF(AND(T$5&gt;假设!$D$25,T41&gt;=0),T$5,999)</f>
        <v>999</v>
      </c>
      <c r="U42" s="11" t="n">
        <f aca="false">IF(AND(U$5&gt;假设!$D$25,U41&gt;=0),U$5,999)</f>
        <v>999</v>
      </c>
      <c r="V42" s="11" t="n">
        <f aca="false">IF(AND(V$5&gt;假设!$D$25,V41&gt;=0),V$5,999)</f>
        <v>999</v>
      </c>
      <c r="W42" s="11" t="n">
        <f aca="false">IF(AND(W$5&gt;假设!$D$25,W41&gt;=0),W$5,999)</f>
        <v>999</v>
      </c>
      <c r="X42" s="11" t="n">
        <f aca="false">IF(AND(X$5&gt;假设!$D$25,X41&gt;=0),X$5,999)</f>
        <v>21</v>
      </c>
      <c r="Y42" s="11" t="n">
        <f aca="false">IF(AND(Y$5&gt;假设!$D$25,Y41&gt;=0),Y$5,999)</f>
        <v>22</v>
      </c>
      <c r="Z42" s="11" t="n">
        <f aca="false">IF(AND(Z$5&gt;假设!$D$25,Z41&gt;=0),Z$5,999)</f>
        <v>23</v>
      </c>
      <c r="AA42" s="11" t="n">
        <f aca="false">IF(AND(AA$5&gt;假设!$D$25,AA41&gt;=0),AA$5,999)</f>
        <v>24</v>
      </c>
      <c r="AB42" s="11" t="n">
        <f aca="false">IF(AND(AB$5&gt;假设!$D$25,AB41&gt;=0),AB$5,999)</f>
        <v>25</v>
      </c>
      <c r="AC42" s="11" t="n">
        <f aca="false">IF(AND(AC$5&gt;假设!$D$25,AC41&gt;=0),AC$5,999)</f>
        <v>26</v>
      </c>
      <c r="AD42" s="11" t="n">
        <f aca="false">IF(AND(AD$5&gt;假设!$D$25,AD41&gt;=0),AD$5,999)</f>
        <v>27</v>
      </c>
      <c r="AE42" s="11" t="n">
        <f aca="false">IF(AND(AE$5&gt;假设!$D$25,AE41&gt;=0),AE$5,999)</f>
        <v>28</v>
      </c>
      <c r="AF42" s="11" t="n">
        <f aca="false">IF(AND(AF$5&gt;假设!$D$25,AF41&gt;=0),AF$5,999)</f>
        <v>29</v>
      </c>
      <c r="AG42" s="11" t="n">
        <f aca="false">IF(AND(AG$5&gt;假设!$D$25,AG41&gt;=0),AG$5,999)</f>
        <v>30</v>
      </c>
      <c r="AH42" s="11" t="n">
        <f aca="false">IF(AND(AH$5&gt;假设!$D$25,AH41&gt;=0),AH$5,999)</f>
        <v>31</v>
      </c>
      <c r="AI42" s="11" t="n">
        <f aca="false">IF(AND(AI$5&gt;假设!$D$25,AI41&gt;=0),AI$5,999)</f>
        <v>32</v>
      </c>
      <c r="AJ42" s="11" t="n">
        <f aca="false">IF(AND(AJ$5&gt;假设!$D$25,AJ41&gt;=0),AJ$5,999)</f>
        <v>33</v>
      </c>
      <c r="AK42" s="11" t="n">
        <f aca="false">IF(AND(AK$5&gt;假设!$D$25,AK41&gt;=0),AK$5,999)</f>
        <v>34</v>
      </c>
      <c r="AL42" s="11" t="n">
        <f aca="false">IF(AND(AL$5&gt;假设!$D$25,AL41&gt;=0),AL$5,999)</f>
        <v>35</v>
      </c>
      <c r="AM42" s="11" t="n">
        <f aca="false">IF(AND(AM$5&gt;假设!$D$25,AM41&gt;=0),AM$5,999)</f>
        <v>36</v>
      </c>
      <c r="AN42" s="3"/>
    </row>
    <row r="43" customFormat="false" ht="24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customFormat="false" ht="24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customFormat="false" ht="15" hidden="false" customHeight="false" outlineLevel="0" collapsed="false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0" min="4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24" hidden="false" customHeight="true" outlineLevel="0" collapsed="false">
      <c r="A2" s="1"/>
      <c r="B2" s="1"/>
      <c r="C2" s="4" t="s">
        <v>201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24" hidden="false" customHeight="tru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customFormat="false" ht="29" hidden="false" customHeight="true" outlineLevel="0" collapsed="false">
      <c r="A5" s="1"/>
      <c r="B5" s="1"/>
      <c r="C5" s="6" t="s">
        <v>202</v>
      </c>
      <c r="D5" s="7" t="s">
        <v>15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Format="false" ht="24" hidden="false" customHeight="true" outlineLevel="0" collapsed="false">
      <c r="A6" s="1"/>
      <c r="B6" s="1"/>
      <c r="C6" s="8" t="s">
        <v>203</v>
      </c>
      <c r="D6" s="11" t="n">
        <f aca="false">假设!$D$20</f>
        <v>1500</v>
      </c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Format="false" ht="24" hidden="false" customHeight="true" outlineLevel="0" collapsed="false">
      <c r="A7" s="1"/>
      <c r="B7" s="1"/>
      <c r="C7" s="8" t="s">
        <v>204</v>
      </c>
      <c r="D7" s="11" t="n">
        <f aca="false">假设!$D$21</f>
        <v>2</v>
      </c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customFormat="false" ht="24" hidden="false" customHeight="true" outlineLevel="0" collapsed="false">
      <c r="A8" s="1"/>
      <c r="B8" s="1"/>
      <c r="C8" s="8" t="s">
        <v>205</v>
      </c>
      <c r="D8" s="11" t="n">
        <f aca="false">单位经济!D13</f>
        <v>750</v>
      </c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customFormat="false" ht="24" hidden="false" customHeight="true" outlineLevel="0" collapsed="false">
      <c r="A9" s="1"/>
      <c r="B9" s="1"/>
      <c r="C9" s="8" t="s">
        <v>206</v>
      </c>
      <c r="D9" s="2" t="n">
        <f aca="false">D7*D8</f>
        <v>1500</v>
      </c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customFormat="false" ht="24" hidden="false" customHeight="true" outlineLevel="0" collapsed="false">
      <c r="A10" s="1"/>
      <c r="B10" s="1"/>
      <c r="C10" s="8" t="s">
        <v>207</v>
      </c>
      <c r="D10" s="2" t="n">
        <f aca="false">IF(D9&lt;=0,"无法回收",D6/D9)</f>
        <v>1</v>
      </c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customFormat="false" ht="24" hidden="false" customHeight="true" outlineLevel="0" collapsed="false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customFormat="false" ht="24" hidden="false" customHeight="true" outlineLevel="0" collapsed="false">
      <c r="A12" s="1"/>
      <c r="B12" s="1"/>
      <c r="C12" s="5" t="s">
        <v>208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customFormat="false" ht="24" hidden="false" customHeight="true" outlineLevel="0" collapsed="false">
      <c r="A13" s="1"/>
      <c r="B13" s="1"/>
      <c r="C13" s="5" t="s">
        <v>209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customFormat="false" ht="24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customFormat="false" ht="29" hidden="false" customHeight="true" outlineLevel="0" collapsed="false">
      <c r="A15" s="1"/>
      <c r="B15" s="1"/>
      <c r="C15" s="6" t="s">
        <v>210</v>
      </c>
      <c r="D15" s="7" t="s">
        <v>211</v>
      </c>
      <c r="E15" s="7" t="s">
        <v>150</v>
      </c>
      <c r="F15" s="7" t="s">
        <v>212</v>
      </c>
      <c r="G15" s="7" t="s">
        <v>213</v>
      </c>
      <c r="H15" s="2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customFormat="false" ht="24" hidden="false" customHeight="true" outlineLevel="0" collapsed="false">
      <c r="A16" s="1"/>
      <c r="B16" s="1"/>
      <c r="C16" s="19" t="n">
        <v>1</v>
      </c>
      <c r="D16" s="20" t="n">
        <f aca="false">(1-假设!$D$22)^(C16-1)</f>
        <v>1</v>
      </c>
      <c r="E16" s="2" t="n">
        <f aca="false">D16*$D$9</f>
        <v>1500</v>
      </c>
      <c r="F16" s="2" t="n">
        <f aca="false">E16</f>
        <v>1500</v>
      </c>
      <c r="G16" s="2" t="n">
        <f aca="false">F16-$D$6</f>
        <v>0</v>
      </c>
      <c r="H16" s="2"/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customFormat="false" ht="24" hidden="false" customHeight="true" outlineLevel="0" collapsed="false">
      <c r="A17" s="1"/>
      <c r="B17" s="1"/>
      <c r="C17" s="19" t="n">
        <v>2</v>
      </c>
      <c r="D17" s="20" t="n">
        <f aca="false">(1-假设!$D$22)^(C17-1)</f>
        <v>0.95</v>
      </c>
      <c r="E17" s="2" t="n">
        <f aca="false">D17*$D$9</f>
        <v>1425</v>
      </c>
      <c r="F17" s="2" t="n">
        <f aca="false">F16+E17</f>
        <v>2925</v>
      </c>
      <c r="G17" s="2" t="n">
        <f aca="false">F17-$D$6</f>
        <v>1425</v>
      </c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customFormat="false" ht="24" hidden="false" customHeight="true" outlineLevel="0" collapsed="false">
      <c r="A18" s="1"/>
      <c r="B18" s="1"/>
      <c r="C18" s="19" t="n">
        <v>3</v>
      </c>
      <c r="D18" s="20" t="n">
        <f aca="false">(1-假设!$D$22)^(C18-1)</f>
        <v>0.9025</v>
      </c>
      <c r="E18" s="2" t="n">
        <f aca="false">D18*$D$9</f>
        <v>1353.75</v>
      </c>
      <c r="F18" s="2" t="n">
        <f aca="false">F17+E18</f>
        <v>4278.75</v>
      </c>
      <c r="G18" s="2" t="n">
        <f aca="false">F18-$D$6</f>
        <v>2778.75</v>
      </c>
      <c r="H18" s="2"/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customFormat="false" ht="24" hidden="false" customHeight="true" outlineLevel="0" collapsed="false">
      <c r="A19" s="1"/>
      <c r="B19" s="1"/>
      <c r="C19" s="19" t="n">
        <v>4</v>
      </c>
      <c r="D19" s="20" t="n">
        <f aca="false">(1-假设!$D$22)^(C19-1)</f>
        <v>0.857375</v>
      </c>
      <c r="E19" s="2" t="n">
        <f aca="false">D19*$D$9</f>
        <v>1286.0625</v>
      </c>
      <c r="F19" s="2" t="n">
        <f aca="false">F18+E19</f>
        <v>5564.8125</v>
      </c>
      <c r="G19" s="2" t="n">
        <f aca="false">F19-$D$6</f>
        <v>4064.8125</v>
      </c>
      <c r="H19" s="2"/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customFormat="false" ht="24" hidden="false" customHeight="true" outlineLevel="0" collapsed="false">
      <c r="A20" s="1"/>
      <c r="B20" s="1"/>
      <c r="C20" s="19" t="n">
        <v>5</v>
      </c>
      <c r="D20" s="20" t="n">
        <f aca="false">(1-假设!$D$22)^(C20-1)</f>
        <v>0.81450625</v>
      </c>
      <c r="E20" s="2" t="n">
        <f aca="false">D20*$D$9</f>
        <v>1221.759375</v>
      </c>
      <c r="F20" s="2" t="n">
        <f aca="false">F19+E20</f>
        <v>6786.571875</v>
      </c>
      <c r="G20" s="2" t="n">
        <f aca="false">F20-$D$6</f>
        <v>5286.571875</v>
      </c>
      <c r="H20" s="2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customFormat="false" ht="24" hidden="false" customHeight="true" outlineLevel="0" collapsed="false">
      <c r="A21" s="1"/>
      <c r="B21" s="1"/>
      <c r="C21" s="19" t="n">
        <v>6</v>
      </c>
      <c r="D21" s="20" t="n">
        <f aca="false">(1-假设!$D$22)^(C21-1)</f>
        <v>0.7737809375</v>
      </c>
      <c r="E21" s="2" t="n">
        <f aca="false">D21*$D$9</f>
        <v>1160.67140625</v>
      </c>
      <c r="F21" s="2" t="n">
        <f aca="false">F20+E21</f>
        <v>7947.24328125</v>
      </c>
      <c r="G21" s="2" t="n">
        <f aca="false">F21-$D$6</f>
        <v>6447.24328125</v>
      </c>
      <c r="H21" s="2"/>
      <c r="I21" s="2"/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customFormat="false" ht="24" hidden="false" customHeight="true" outlineLevel="0" collapsed="false">
      <c r="A22" s="1"/>
      <c r="B22" s="1"/>
      <c r="C22" s="19" t="n">
        <v>7</v>
      </c>
      <c r="D22" s="20" t="n">
        <f aca="false">(1-假设!$D$22)^(C22-1)</f>
        <v>0.735091890625</v>
      </c>
      <c r="E22" s="2" t="n">
        <f aca="false">D22*$D$9</f>
        <v>1102.6378359375</v>
      </c>
      <c r="F22" s="2" t="n">
        <f aca="false">F21+E22</f>
        <v>9049.8811171875</v>
      </c>
      <c r="G22" s="2" t="n">
        <f aca="false">F22-$D$6</f>
        <v>7549.8811171875</v>
      </c>
      <c r="H22" s="2"/>
      <c r="I22" s="2"/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customFormat="false" ht="24" hidden="false" customHeight="true" outlineLevel="0" collapsed="false">
      <c r="A23" s="1"/>
      <c r="B23" s="1"/>
      <c r="C23" s="19" t="n">
        <v>8</v>
      </c>
      <c r="D23" s="20" t="n">
        <f aca="false">(1-假设!$D$22)^(C23-1)</f>
        <v>0.69833729609375</v>
      </c>
      <c r="E23" s="2" t="n">
        <f aca="false">D23*$D$9</f>
        <v>1047.50594414062</v>
      </c>
      <c r="F23" s="2" t="n">
        <f aca="false">F22+E23</f>
        <v>10097.3870613281</v>
      </c>
      <c r="G23" s="2" t="n">
        <f aca="false">F23-$D$6</f>
        <v>8597.38706132812</v>
      </c>
      <c r="H23" s="2"/>
      <c r="I23" s="2"/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24" hidden="false" customHeight="true" outlineLevel="0" collapsed="false">
      <c r="A24" s="1"/>
      <c r="B24" s="1"/>
      <c r="C24" s="19" t="n">
        <v>9</v>
      </c>
      <c r="D24" s="20" t="n">
        <f aca="false">(1-假设!$D$22)^(C24-1)</f>
        <v>0.663420431289062</v>
      </c>
      <c r="E24" s="2" t="n">
        <f aca="false">D24*$D$9</f>
        <v>995.130646933593</v>
      </c>
      <c r="F24" s="2" t="n">
        <f aca="false">F23+E24</f>
        <v>11092.5177082617</v>
      </c>
      <c r="G24" s="2" t="n">
        <f aca="false">F24-$D$6</f>
        <v>9592.51770826172</v>
      </c>
      <c r="H24" s="2"/>
      <c r="I24" s="2"/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customFormat="false" ht="24" hidden="false" customHeight="true" outlineLevel="0" collapsed="false">
      <c r="A25" s="1"/>
      <c r="B25" s="1"/>
      <c r="C25" s="19" t="n">
        <v>10</v>
      </c>
      <c r="D25" s="20" t="n">
        <f aca="false">(1-假设!$D$22)^(C25-1)</f>
        <v>0.630249409724609</v>
      </c>
      <c r="E25" s="2" t="n">
        <f aca="false">D25*$D$9</f>
        <v>945.374114586914</v>
      </c>
      <c r="F25" s="2" t="n">
        <f aca="false">F24+E25</f>
        <v>12037.8918228486</v>
      </c>
      <c r="G25" s="2" t="n">
        <f aca="false">F25-$D$6</f>
        <v>10537.8918228486</v>
      </c>
      <c r="H25" s="2"/>
      <c r="I25" s="2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customFormat="false" ht="24" hidden="false" customHeight="true" outlineLevel="0" collapsed="false">
      <c r="A26" s="1"/>
      <c r="B26" s="1"/>
      <c r="C26" s="19" t="n">
        <v>11</v>
      </c>
      <c r="D26" s="20" t="n">
        <f aca="false">(1-假设!$D$22)^(C26-1)</f>
        <v>0.598736939238379</v>
      </c>
      <c r="E26" s="2" t="n">
        <f aca="false">D26*$D$9</f>
        <v>898.105408857568</v>
      </c>
      <c r="F26" s="2" t="n">
        <f aca="false">F25+E26</f>
        <v>12935.9972317062</v>
      </c>
      <c r="G26" s="2" t="n">
        <f aca="false">F26-$D$6</f>
        <v>11435.9972317062</v>
      </c>
      <c r="H26" s="2"/>
      <c r="I26" s="2"/>
      <c r="J26" s="2"/>
      <c r="K26" s="2"/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24" hidden="false" customHeight="true" outlineLevel="0" collapsed="false">
      <c r="A27" s="1"/>
      <c r="B27" s="1"/>
      <c r="C27" s="19" t="n">
        <v>12</v>
      </c>
      <c r="D27" s="20" t="n">
        <f aca="false">(1-假设!$D$22)^(C27-1)</f>
        <v>0.56880009227646</v>
      </c>
      <c r="E27" s="2" t="n">
        <f aca="false">D27*$D$9</f>
        <v>853.20013841469</v>
      </c>
      <c r="F27" s="2" t="n">
        <f aca="false">F26+E27</f>
        <v>13789.1973701209</v>
      </c>
      <c r="G27" s="2" t="n">
        <f aca="false">F27-$D$6</f>
        <v>12289.1973701209</v>
      </c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24" hidden="false" customHeight="true" outlineLevel="0" collapsed="false">
      <c r="A28" s="1"/>
      <c r="B28" s="1"/>
      <c r="C28" s="19" t="n">
        <v>13</v>
      </c>
      <c r="D28" s="20" t="n">
        <f aca="false">(1-假设!$D$22)^(C28-1)</f>
        <v>0.540360087662637</v>
      </c>
      <c r="E28" s="2" t="n">
        <f aca="false">D28*$D$9</f>
        <v>810.540131493955</v>
      </c>
      <c r="F28" s="2" t="n">
        <f aca="false">F27+E28</f>
        <v>14599.7375016148</v>
      </c>
      <c r="G28" s="2" t="n">
        <f aca="false">F28-$D$6</f>
        <v>13099.7375016148</v>
      </c>
      <c r="H28" s="2"/>
      <c r="I28" s="2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customFormat="false" ht="24" hidden="false" customHeight="true" outlineLevel="0" collapsed="false">
      <c r="A29" s="1"/>
      <c r="B29" s="1"/>
      <c r="C29" s="19" t="n">
        <v>14</v>
      </c>
      <c r="D29" s="20" t="n">
        <f aca="false">(1-假设!$D$22)^(C29-1)</f>
        <v>0.513342083279505</v>
      </c>
      <c r="E29" s="2" t="n">
        <f aca="false">D29*$D$9</f>
        <v>770.013124919257</v>
      </c>
      <c r="F29" s="2" t="n">
        <f aca="false">F28+E29</f>
        <v>15369.7506265341</v>
      </c>
      <c r="G29" s="2" t="n">
        <f aca="false">F29-$D$6</f>
        <v>13869.7506265341</v>
      </c>
      <c r="H29" s="2"/>
      <c r="I29" s="2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customFormat="false" ht="24" hidden="false" customHeight="true" outlineLevel="0" collapsed="false">
      <c r="A30" s="1"/>
      <c r="B30" s="1"/>
      <c r="C30" s="19" t="n">
        <v>15</v>
      </c>
      <c r="D30" s="20" t="n">
        <f aca="false">(1-假设!$D$22)^(C30-1)</f>
        <v>0.48767497911553</v>
      </c>
      <c r="E30" s="2" t="n">
        <f aca="false">D30*$D$9</f>
        <v>731.512468673294</v>
      </c>
      <c r="F30" s="2" t="n">
        <f aca="false">F29+E30</f>
        <v>16101.2630952074</v>
      </c>
      <c r="G30" s="2" t="n">
        <f aca="false">F30-$D$6</f>
        <v>14601.2630952074</v>
      </c>
      <c r="H30" s="2"/>
      <c r="I30" s="2"/>
      <c r="J30" s="2"/>
      <c r="K30" s="2"/>
      <c r="L30" s="2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customFormat="false" ht="24" hidden="false" customHeight="true" outlineLevel="0" collapsed="false">
      <c r="A31" s="1"/>
      <c r="B31" s="1"/>
      <c r="C31" s="19" t="n">
        <v>16</v>
      </c>
      <c r="D31" s="20" t="n">
        <f aca="false">(1-假设!$D$22)^(C31-1)</f>
        <v>0.463291230159753</v>
      </c>
      <c r="E31" s="2" t="n">
        <f aca="false">D31*$D$9</f>
        <v>694.93684523963</v>
      </c>
      <c r="F31" s="2" t="n">
        <f aca="false">F30+E31</f>
        <v>16796.199940447</v>
      </c>
      <c r="G31" s="2" t="n">
        <f aca="false">F31-$D$6</f>
        <v>15296.199940447</v>
      </c>
      <c r="H31" s="2"/>
      <c r="I31" s="2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customFormat="false" ht="24" hidden="false" customHeight="true" outlineLevel="0" collapsed="false">
      <c r="A32" s="1"/>
      <c r="B32" s="1"/>
      <c r="C32" s="19" t="n">
        <v>17</v>
      </c>
      <c r="D32" s="20" t="n">
        <f aca="false">(1-假设!$D$22)^(C32-1)</f>
        <v>0.440126668651765</v>
      </c>
      <c r="E32" s="2" t="n">
        <f aca="false">D32*$D$9</f>
        <v>660.190002977648</v>
      </c>
      <c r="F32" s="2" t="n">
        <f aca="false">F31+E32</f>
        <v>17456.3899434247</v>
      </c>
      <c r="G32" s="2" t="n">
        <f aca="false">F32-$D$6</f>
        <v>15956.3899434247</v>
      </c>
      <c r="H32" s="2"/>
      <c r="I32" s="2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customFormat="false" ht="24" hidden="false" customHeight="true" outlineLevel="0" collapsed="false">
      <c r="A33" s="1"/>
      <c r="B33" s="1"/>
      <c r="C33" s="19" t="n">
        <v>18</v>
      </c>
      <c r="D33" s="20" t="n">
        <f aca="false">(1-假设!$D$22)^(C33-1)</f>
        <v>0.418120335219177</v>
      </c>
      <c r="E33" s="2" t="n">
        <f aca="false">D33*$D$9</f>
        <v>627.180502828766</v>
      </c>
      <c r="F33" s="2" t="n">
        <f aca="false">F32+E33</f>
        <v>18083.5704462534</v>
      </c>
      <c r="G33" s="2" t="n">
        <f aca="false">F33-$D$6</f>
        <v>16583.5704462534</v>
      </c>
      <c r="H33" s="2"/>
      <c r="I33" s="2"/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customFormat="false" ht="24" hidden="false" customHeight="true" outlineLevel="0" collapsed="false">
      <c r="A34" s="1"/>
      <c r="B34" s="1"/>
      <c r="C34" s="19" t="n">
        <v>19</v>
      </c>
      <c r="D34" s="20" t="n">
        <f aca="false">(1-假设!$D$22)^(C34-1)</f>
        <v>0.397214318458218</v>
      </c>
      <c r="E34" s="2" t="n">
        <f aca="false">D34*$D$9</f>
        <v>595.821477687327</v>
      </c>
      <c r="F34" s="2" t="n">
        <f aca="false">F33+E34</f>
        <v>18679.3919239408</v>
      </c>
      <c r="G34" s="2" t="n">
        <f aca="false">F34-$D$6</f>
        <v>17179.3919239408</v>
      </c>
      <c r="H34" s="2"/>
      <c r="I34" s="2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customFormat="false" ht="24" hidden="false" customHeight="true" outlineLevel="0" collapsed="false">
      <c r="A35" s="1"/>
      <c r="B35" s="1"/>
      <c r="C35" s="19" t="n">
        <v>20</v>
      </c>
      <c r="D35" s="20" t="n">
        <f aca="false">(1-假设!$D$22)^(C35-1)</f>
        <v>0.377353602535307</v>
      </c>
      <c r="E35" s="2" t="n">
        <f aca="false">D35*$D$9</f>
        <v>566.030403802961</v>
      </c>
      <c r="F35" s="2" t="n">
        <f aca="false">F34+E35</f>
        <v>19245.4223277437</v>
      </c>
      <c r="G35" s="2" t="n">
        <f aca="false">F35-$D$6</f>
        <v>17745.4223277437</v>
      </c>
      <c r="H35" s="2"/>
      <c r="I35" s="2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customFormat="false" ht="24" hidden="false" customHeight="true" outlineLevel="0" collapsed="false">
      <c r="A36" s="1"/>
      <c r="B36" s="1"/>
      <c r="C36" s="19" t="n">
        <v>21</v>
      </c>
      <c r="D36" s="20" t="n">
        <f aca="false">(1-假设!$D$22)^(C36-1)</f>
        <v>0.358485922408542</v>
      </c>
      <c r="E36" s="2" t="n">
        <f aca="false">D36*$D$9</f>
        <v>537.728883612813</v>
      </c>
      <c r="F36" s="2" t="n">
        <f aca="false">F35+E36</f>
        <v>19783.1512113565</v>
      </c>
      <c r="G36" s="2" t="n">
        <f aca="false">F36-$D$6</f>
        <v>18283.1512113565</v>
      </c>
      <c r="H36" s="2"/>
      <c r="I36" s="2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customFormat="false" ht="24" hidden="false" customHeight="true" outlineLevel="0" collapsed="false">
      <c r="A37" s="1"/>
      <c r="B37" s="1"/>
      <c r="C37" s="19" t="n">
        <v>22</v>
      </c>
      <c r="D37" s="20" t="n">
        <f aca="false">(1-假设!$D$22)^(C37-1)</f>
        <v>0.340561626288115</v>
      </c>
      <c r="E37" s="2" t="n">
        <f aca="false">D37*$D$9</f>
        <v>510.842439432172</v>
      </c>
      <c r="F37" s="2" t="n">
        <f aca="false">F36+E37</f>
        <v>20293.9936507887</v>
      </c>
      <c r="G37" s="2" t="n">
        <f aca="false">F37-$D$6</f>
        <v>18793.9936507887</v>
      </c>
      <c r="H37" s="2"/>
      <c r="I37" s="2"/>
      <c r="J37" s="2"/>
      <c r="K37" s="2"/>
      <c r="L37" s="2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customFormat="false" ht="24" hidden="false" customHeight="true" outlineLevel="0" collapsed="false">
      <c r="A38" s="1"/>
      <c r="B38" s="1"/>
      <c r="C38" s="19" t="n">
        <v>23</v>
      </c>
      <c r="D38" s="20" t="n">
        <f aca="false">(1-假设!$D$22)^(C38-1)</f>
        <v>0.323533544973709</v>
      </c>
      <c r="E38" s="2" t="n">
        <f aca="false">D38*$D$9</f>
        <v>485.300317460564</v>
      </c>
      <c r="F38" s="2" t="n">
        <f aca="false">F37+E38</f>
        <v>20779.2939682493</v>
      </c>
      <c r="G38" s="2" t="n">
        <f aca="false">F38-$D$6</f>
        <v>19279.2939682493</v>
      </c>
      <c r="H38" s="2"/>
      <c r="I38" s="2"/>
      <c r="J38" s="2"/>
      <c r="K38" s="2"/>
      <c r="L38" s="2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customFormat="false" ht="24" hidden="false" customHeight="true" outlineLevel="0" collapsed="false">
      <c r="A39" s="1"/>
      <c r="B39" s="1"/>
      <c r="C39" s="19" t="n">
        <v>24</v>
      </c>
      <c r="D39" s="20" t="n">
        <f aca="false">(1-假设!$D$22)^(C39-1)</f>
        <v>0.307356867725024</v>
      </c>
      <c r="E39" s="2" t="n">
        <f aca="false">D39*$D$9</f>
        <v>461.035301587535</v>
      </c>
      <c r="F39" s="2" t="n">
        <f aca="false">F38+E39</f>
        <v>21240.3292698368</v>
      </c>
      <c r="G39" s="2" t="n">
        <f aca="false">F39-$D$6</f>
        <v>19740.3292698368</v>
      </c>
      <c r="H39" s="2"/>
      <c r="I39" s="2"/>
      <c r="J39" s="2"/>
      <c r="K39" s="2"/>
      <c r="L39" s="2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customFormat="false" ht="24" hidden="false" customHeight="true" outlineLevel="0" collapsed="false">
      <c r="A40" s="1"/>
      <c r="B40" s="1"/>
      <c r="C40" s="19" t="n">
        <v>25</v>
      </c>
      <c r="D40" s="20" t="n">
        <f aca="false">(1-假设!$D$22)^(C40-1)</f>
        <v>0.291989024338772</v>
      </c>
      <c r="E40" s="2" t="n">
        <f aca="false">D40*$D$9</f>
        <v>437.983536508159</v>
      </c>
      <c r="F40" s="2" t="n">
        <f aca="false">F39+E40</f>
        <v>21678.312806345</v>
      </c>
      <c r="G40" s="2" t="n">
        <f aca="false">F40-$D$6</f>
        <v>20178.312806345</v>
      </c>
      <c r="H40" s="2"/>
      <c r="I40" s="2"/>
      <c r="J40" s="2"/>
      <c r="K40" s="2"/>
      <c r="L40" s="2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customFormat="false" ht="24" hidden="false" customHeight="true" outlineLevel="0" collapsed="false">
      <c r="A41" s="1"/>
      <c r="B41" s="1"/>
      <c r="C41" s="19" t="n">
        <v>26</v>
      </c>
      <c r="D41" s="20" t="n">
        <f aca="false">(1-假设!$D$22)^(C41-1)</f>
        <v>0.277389573121834</v>
      </c>
      <c r="E41" s="2" t="n">
        <f aca="false">D41*$D$9</f>
        <v>416.084359682751</v>
      </c>
      <c r="F41" s="2" t="n">
        <f aca="false">F40+E41</f>
        <v>22094.3971660277</v>
      </c>
      <c r="G41" s="2" t="n">
        <f aca="false">F41-$D$6</f>
        <v>20594.3971660277</v>
      </c>
      <c r="H41" s="2"/>
      <c r="I41" s="2"/>
      <c r="J41" s="2"/>
      <c r="K41" s="2"/>
      <c r="L41" s="2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customFormat="false" ht="24" hidden="false" customHeight="true" outlineLevel="0" collapsed="false">
      <c r="A42" s="1"/>
      <c r="B42" s="1"/>
      <c r="C42" s="19" t="n">
        <v>27</v>
      </c>
      <c r="D42" s="20" t="n">
        <f aca="false">(1-假设!$D$22)^(C42-1)</f>
        <v>0.263520094465742</v>
      </c>
      <c r="E42" s="2" t="n">
        <f aca="false">D42*$D$9</f>
        <v>395.280141698613</v>
      </c>
      <c r="F42" s="2" t="n">
        <f aca="false">F41+E42</f>
        <v>22489.6773077263</v>
      </c>
      <c r="G42" s="2" t="n">
        <f aca="false">F42-$D$6</f>
        <v>20989.6773077263</v>
      </c>
      <c r="H42" s="2"/>
      <c r="I42" s="2"/>
      <c r="J42" s="2"/>
      <c r="K42" s="2"/>
      <c r="L42" s="2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customFormat="false" ht="24" hidden="false" customHeight="true" outlineLevel="0" collapsed="false">
      <c r="A43" s="1"/>
      <c r="B43" s="1"/>
      <c r="C43" s="19" t="n">
        <v>28</v>
      </c>
      <c r="D43" s="20" t="n">
        <f aca="false">(1-假设!$D$22)^(C43-1)</f>
        <v>0.250344089742455</v>
      </c>
      <c r="E43" s="2" t="n">
        <f aca="false">D43*$D$9</f>
        <v>375.516134613682</v>
      </c>
      <c r="F43" s="2" t="n">
        <f aca="false">F42+E43</f>
        <v>22865.19344234</v>
      </c>
      <c r="G43" s="2" t="n">
        <f aca="false">F43-$D$6</f>
        <v>21365.19344234</v>
      </c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customFormat="false" ht="24" hidden="false" customHeight="true" outlineLevel="0" collapsed="false">
      <c r="A44" s="1"/>
      <c r="B44" s="1"/>
      <c r="C44" s="19" t="n">
        <v>29</v>
      </c>
      <c r="D44" s="20" t="n">
        <f aca="false">(1-假设!$D$22)^(C44-1)</f>
        <v>0.237826885255332</v>
      </c>
      <c r="E44" s="2" t="n">
        <f aca="false">D44*$D$9</f>
        <v>356.740327882998</v>
      </c>
      <c r="F44" s="2" t="n">
        <f aca="false">F43+E44</f>
        <v>23221.933770223</v>
      </c>
      <c r="G44" s="2" t="n">
        <f aca="false">F44-$D$6</f>
        <v>21721.933770223</v>
      </c>
      <c r="H44" s="2"/>
      <c r="I44" s="2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customFormat="false" ht="24" hidden="false" customHeight="true" outlineLevel="0" collapsed="false">
      <c r="A45" s="1"/>
      <c r="B45" s="1"/>
      <c r="C45" s="19" t="n">
        <v>30</v>
      </c>
      <c r="D45" s="20" t="n">
        <f aca="false">(1-假设!$D$22)^(C45-1)</f>
        <v>0.225935540992566</v>
      </c>
      <c r="E45" s="2" t="n">
        <f aca="false">D45*$D$9</f>
        <v>338.903311488848</v>
      </c>
      <c r="F45" s="2" t="n">
        <f aca="false">F44+E45</f>
        <v>23560.8370817119</v>
      </c>
      <c r="G45" s="2" t="n">
        <f aca="false">F45-$D$6</f>
        <v>22060.8370817119</v>
      </c>
      <c r="H45" s="2"/>
      <c r="I45" s="2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customFormat="false" ht="24" hidden="false" customHeight="true" outlineLevel="0" collapsed="false">
      <c r="A46" s="1"/>
      <c r="B46" s="1"/>
      <c r="C46" s="19" t="n">
        <v>31</v>
      </c>
      <c r="D46" s="20" t="n">
        <f aca="false">(1-假设!$D$22)^(C46-1)</f>
        <v>0.214638763942937</v>
      </c>
      <c r="E46" s="1" t="n">
        <f aca="false">D46*$D$9</f>
        <v>321.958145914406</v>
      </c>
      <c r="F46" s="1" t="n">
        <f aca="false">F45+E46</f>
        <v>23882.7952276263</v>
      </c>
      <c r="G46" s="1" t="n">
        <f aca="false">F46-$D$6</f>
        <v>22382.7952276263</v>
      </c>
      <c r="H46" s="1"/>
      <c r="I46" s="1"/>
      <c r="J46" s="1"/>
      <c r="K46" s="1"/>
      <c r="L46" s="1"/>
      <c r="M46" s="1"/>
    </row>
    <row r="47" customFormat="false" ht="24" hidden="false" customHeight="true" outlineLevel="0" collapsed="false">
      <c r="A47" s="1"/>
      <c r="B47" s="1"/>
      <c r="C47" s="19" t="n">
        <v>32</v>
      </c>
      <c r="D47" s="20" t="n">
        <f aca="false">(1-假设!$D$22)^(C47-1)</f>
        <v>0.20390682574579</v>
      </c>
      <c r="E47" s="1" t="n">
        <f aca="false">D47*$D$9</f>
        <v>305.860238618686</v>
      </c>
      <c r="F47" s="1" t="n">
        <f aca="false">F46+E47</f>
        <v>24188.655466245</v>
      </c>
      <c r="G47" s="1" t="n">
        <f aca="false">F47-$D$6</f>
        <v>22688.655466245</v>
      </c>
      <c r="H47" s="1"/>
      <c r="I47" s="1"/>
      <c r="J47" s="1"/>
      <c r="K47" s="1"/>
      <c r="L47" s="1"/>
      <c r="M47" s="1"/>
    </row>
    <row r="48" customFormat="false" ht="24" hidden="false" customHeight="true" outlineLevel="0" collapsed="false">
      <c r="A48" s="1"/>
      <c r="B48" s="1"/>
      <c r="C48" s="19" t="n">
        <v>33</v>
      </c>
      <c r="D48" s="20" t="n">
        <f aca="false">(1-假设!$D$22)^(C48-1)</f>
        <v>0.193711484458501</v>
      </c>
      <c r="E48" s="1" t="n">
        <f aca="false">D48*$D$9</f>
        <v>290.567226687751</v>
      </c>
      <c r="F48" s="1" t="n">
        <f aca="false">F47+E48</f>
        <v>24479.2226929327</v>
      </c>
      <c r="G48" s="1" t="n">
        <f aca="false">F48-$D$6</f>
        <v>22979.2226929327</v>
      </c>
      <c r="H48" s="1"/>
      <c r="I48" s="1"/>
      <c r="J48" s="1"/>
      <c r="K48" s="1"/>
      <c r="L48" s="1"/>
      <c r="M48" s="1"/>
    </row>
    <row r="49" customFormat="false" ht="24" hidden="false" customHeight="true" outlineLevel="0" collapsed="false">
      <c r="A49" s="1"/>
      <c r="B49" s="1"/>
      <c r="C49" s="19" t="n">
        <v>34</v>
      </c>
      <c r="D49" s="20" t="n">
        <f aca="false">(1-假设!$D$22)^(C49-1)</f>
        <v>0.184025910235576</v>
      </c>
      <c r="E49" s="1" t="n">
        <f aca="false">D49*$D$9</f>
        <v>276.038865353364</v>
      </c>
      <c r="F49" s="1" t="n">
        <f aca="false">F48+E49</f>
        <v>24755.2615582861</v>
      </c>
      <c r="G49" s="1" t="n">
        <f aca="false">F49-$D$6</f>
        <v>23255.2615582861</v>
      </c>
      <c r="H49" s="1"/>
      <c r="I49" s="1"/>
      <c r="J49" s="1"/>
      <c r="K49" s="1"/>
      <c r="L49" s="1"/>
      <c r="M49" s="1"/>
    </row>
    <row r="50" customFormat="false" ht="24" hidden="false" customHeight="true" outlineLevel="0" collapsed="false">
      <c r="A50" s="1"/>
      <c r="B50" s="1"/>
      <c r="C50" s="19" t="n">
        <v>35</v>
      </c>
      <c r="D50" s="20" t="n">
        <f aca="false">(1-假设!$D$22)^(C50-1)</f>
        <v>0.174824614723797</v>
      </c>
      <c r="E50" s="1" t="n">
        <f aca="false">D50*$D$9</f>
        <v>262.236922085696</v>
      </c>
      <c r="F50" s="1" t="n">
        <f aca="false">F49+E50</f>
        <v>25017.4984803718</v>
      </c>
      <c r="G50" s="1" t="n">
        <f aca="false">F50-$D$6</f>
        <v>23517.4984803718</v>
      </c>
      <c r="H50" s="1"/>
      <c r="I50" s="1"/>
      <c r="J50" s="1"/>
      <c r="K50" s="1"/>
      <c r="L50" s="1"/>
      <c r="M50" s="1"/>
    </row>
    <row r="51" customFormat="false" ht="24" hidden="false" customHeight="true" outlineLevel="0" collapsed="false">
      <c r="A51" s="1"/>
      <c r="B51" s="1"/>
      <c r="C51" s="19" t="n">
        <v>36</v>
      </c>
      <c r="D51" s="20" t="n">
        <f aca="false">(1-假设!$D$22)^(C51-1)</f>
        <v>0.166083383987607</v>
      </c>
      <c r="E51" s="1" t="n">
        <f aca="false">D51*$D$9</f>
        <v>249.125075981411</v>
      </c>
      <c r="F51" s="1" t="n">
        <f aca="false">F50+E51</f>
        <v>25266.6235563532</v>
      </c>
      <c r="G51" s="1" t="n">
        <f aca="false">F51-$D$6</f>
        <v>23766.6235563532</v>
      </c>
      <c r="H51" s="1"/>
      <c r="I51" s="1"/>
      <c r="J51" s="1"/>
      <c r="K51" s="1"/>
      <c r="L51" s="1"/>
      <c r="M51" s="1"/>
    </row>
    <row r="52" customFormat="false" ht="24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24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24" hidden="false" customHeight="true" outlineLevel="0" collapsed="false">
      <c r="A54" s="1"/>
      <c r="B54" s="1"/>
      <c r="C54" s="5" t="s">
        <v>214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24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24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24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24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24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24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24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24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24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24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24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D2A"/>
    <pageSetUpPr fitToPage="false"/>
  </sheetPr>
  <dimension ref="A1:A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0" min="4" style="0" width="17"/>
  </cols>
  <sheetData>
    <row r="1" customFormat="false" ht="24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customFormat="false" ht="24" hidden="false" customHeight="true" outlineLevel="0" collapsed="false">
      <c r="A2" s="1"/>
      <c r="B2" s="1"/>
      <c r="C2" s="4" t="s">
        <v>215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customFormat="false" ht="24" hidden="false" customHeight="true" outlineLevel="0" collapsed="false">
      <c r="A3" s="1"/>
      <c r="B3" s="1"/>
      <c r="C3" s="5" t="s">
        <v>216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24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customFormat="false" ht="29" hidden="false" customHeight="true" outlineLevel="0" collapsed="false">
      <c r="A5" s="1"/>
      <c r="B5" s="1"/>
      <c r="C5" s="6" t="s">
        <v>217</v>
      </c>
      <c r="D5" s="28" t="n">
        <v>0.1</v>
      </c>
      <c r="E5" s="28" t="n">
        <v>0.125</v>
      </c>
      <c r="F5" s="28" t="n">
        <v>0.15</v>
      </c>
      <c r="G5" s="28" t="n">
        <v>0.175</v>
      </c>
      <c r="H5" s="28" t="n">
        <v>0.2</v>
      </c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customFormat="false" ht="24" hidden="false" customHeight="true" outlineLevel="0" collapsed="false">
      <c r="A6" s="1"/>
      <c r="B6" s="1"/>
      <c r="C6" s="19" t="n">
        <v>10</v>
      </c>
      <c r="D6" s="11" t="n">
        <f aca="false">$C6*(假设!$D$6*D$5-单位经济!$D$11-假设!$D$13)-单位经济!$D$21</f>
        <v>-14500</v>
      </c>
      <c r="E6" s="11" t="n">
        <f aca="false">$C6*(假设!$D$6*E$5-单位经济!$D$11-假设!$D$13)-单位经济!$D$21</f>
        <v>-12000</v>
      </c>
      <c r="F6" s="11" t="n">
        <f aca="false">$C6*(假设!$D$6*F$5-单位经济!$D$11-假设!$D$13)-单位经济!$D$21</f>
        <v>-9500</v>
      </c>
      <c r="G6" s="11" t="n">
        <f aca="false">$C6*(假设!$D$6*G$5-单位经济!$D$11-假设!$D$13)-单位经济!$D$21</f>
        <v>-7000</v>
      </c>
      <c r="H6" s="11" t="n">
        <f aca="false">$C6*(假设!$D$6*H$5-单位经济!$D$11-假设!$D$13)-单位经济!$D$21</f>
        <v>-4500</v>
      </c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customFormat="false" ht="24" hidden="false" customHeight="true" outlineLevel="0" collapsed="false">
      <c r="A7" s="1"/>
      <c r="B7" s="1"/>
      <c r="C7" s="19" t="n">
        <v>20</v>
      </c>
      <c r="D7" s="11" t="n">
        <f aca="false">$C7*(假设!$D$6*D$5-单位经济!$D$11-假设!$D$13)-单位经济!$D$21</f>
        <v>-12000</v>
      </c>
      <c r="E7" s="11" t="n">
        <f aca="false">$C7*(假设!$D$6*E$5-单位经济!$D$11-假设!$D$13)-单位经济!$D$21</f>
        <v>-7000</v>
      </c>
      <c r="F7" s="11" t="n">
        <f aca="false">$C7*(假设!$D$6*F$5-单位经济!$D$11-假设!$D$13)-单位经济!$D$21</f>
        <v>-2000</v>
      </c>
      <c r="G7" s="11" t="n">
        <f aca="false">$C7*(假设!$D$6*G$5-单位经济!$D$11-假设!$D$13)-单位经济!$D$21</f>
        <v>3000</v>
      </c>
      <c r="H7" s="11" t="n">
        <f aca="false">$C7*(假设!$D$6*H$5-单位经济!$D$11-假设!$D$13)-单位经济!$D$21</f>
        <v>8000</v>
      </c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customFormat="false" ht="24" hidden="false" customHeight="true" outlineLevel="0" collapsed="false">
      <c r="A8" s="1"/>
      <c r="B8" s="1"/>
      <c r="C8" s="19" t="n">
        <v>23</v>
      </c>
      <c r="D8" s="11" t="n">
        <f aca="false">$C8*(假设!$D$6*D$5-单位经济!$D$11-假设!$D$13)-单位经济!$D$21</f>
        <v>-11250</v>
      </c>
      <c r="E8" s="11" t="n">
        <f aca="false">$C8*(假设!$D$6*E$5-单位经济!$D$11-假设!$D$13)-单位经济!$D$21</f>
        <v>-5500</v>
      </c>
      <c r="F8" s="11" t="n">
        <f aca="false">$C8*(假设!$D$6*F$5-单位经济!$D$11-假设!$D$13)-单位经济!$D$21</f>
        <v>250</v>
      </c>
      <c r="G8" s="11" t="n">
        <f aca="false">$C8*(假设!$D$6*G$5-单位经济!$D$11-假设!$D$13)-单位经济!$D$21</f>
        <v>6000</v>
      </c>
      <c r="H8" s="11" t="n">
        <f aca="false">$C8*(假设!$D$6*H$5-单位经济!$D$11-假设!$D$13)-单位经济!$D$21</f>
        <v>11750</v>
      </c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customFormat="false" ht="24" hidden="false" customHeight="true" outlineLevel="0" collapsed="false">
      <c r="A9" s="1"/>
      <c r="B9" s="1"/>
      <c r="C9" s="19" t="n">
        <v>40</v>
      </c>
      <c r="D9" s="11" t="n">
        <f aca="false">$C9*(假设!$D$6*D$5-单位经济!$D$11-假设!$D$13)-单位经济!$D$21</f>
        <v>-7000</v>
      </c>
      <c r="E9" s="11" t="n">
        <f aca="false">$C9*(假设!$D$6*E$5-单位经济!$D$11-假设!$D$13)-单位经济!$D$21</f>
        <v>3000</v>
      </c>
      <c r="F9" s="11" t="n">
        <f aca="false">$C9*(假设!$D$6*F$5-单位经济!$D$11-假设!$D$13)-单位经济!$D$21</f>
        <v>13000</v>
      </c>
      <c r="G9" s="11" t="n">
        <f aca="false">$C9*(假设!$D$6*G$5-单位经济!$D$11-假设!$D$13)-单位经济!$D$21</f>
        <v>23000</v>
      </c>
      <c r="H9" s="11" t="n">
        <f aca="false">$C9*(假设!$D$6*H$5-单位经济!$D$11-假设!$D$13)-单位经济!$D$21</f>
        <v>33000</v>
      </c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customFormat="false" ht="24" hidden="false" customHeight="true" outlineLevel="0" collapsed="false">
      <c r="A10" s="1"/>
      <c r="B10" s="1"/>
      <c r="C10" s="19" t="n">
        <v>80</v>
      </c>
      <c r="D10" s="11" t="n">
        <f aca="false">$C10*(假设!$D$6*D$5-单位经济!$D$11-假设!$D$13)-单位经济!$D$21</f>
        <v>3000</v>
      </c>
      <c r="E10" s="11" t="n">
        <f aca="false">$C10*(假设!$D$6*E$5-单位经济!$D$11-假设!$D$13)-单位经济!$D$21</f>
        <v>23000</v>
      </c>
      <c r="F10" s="11" t="n">
        <f aca="false">$C10*(假设!$D$6*F$5-单位经济!$D$11-假设!$D$13)-单位经济!$D$21</f>
        <v>43000</v>
      </c>
      <c r="G10" s="11" t="n">
        <f aca="false">$C10*(假设!$D$6*G$5-单位经济!$D$11-假设!$D$13)-单位经济!$D$21</f>
        <v>63000</v>
      </c>
      <c r="H10" s="11" t="n">
        <f aca="false">$C10*(假设!$D$6*H$5-单位经济!$D$11-假设!$D$13)-单位经济!$D$21</f>
        <v>83000</v>
      </c>
      <c r="I10" s="2"/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customFormat="false" ht="24" hidden="false" customHeight="true" outlineLevel="0" collapsed="false">
      <c r="A11" s="1"/>
      <c r="B11" s="1"/>
      <c r="C11" s="19" t="n">
        <v>160</v>
      </c>
      <c r="D11" s="11" t="n">
        <f aca="false">$C11*(假设!$D$6*D$5-单位经济!$D$11-假设!$D$13)-单位经济!$D$21</f>
        <v>23000</v>
      </c>
      <c r="E11" s="11" t="n">
        <f aca="false">$C11*(假设!$D$6*E$5-单位经济!$D$11-假设!$D$13)-单位经济!$D$21</f>
        <v>63000</v>
      </c>
      <c r="F11" s="11" t="n">
        <f aca="false">$C11*(假设!$D$6*F$5-单位经济!$D$11-假设!$D$13)-单位经济!$D$21</f>
        <v>103000</v>
      </c>
      <c r="G11" s="11" t="n">
        <f aca="false">$C11*(假设!$D$6*G$5-单位经济!$D$11-假设!$D$13)-单位经济!$D$21</f>
        <v>143000</v>
      </c>
      <c r="H11" s="11" t="n">
        <f aca="false">$C11*(假设!$D$6*H$5-单位经济!$D$11-假设!$D$13)-单位经济!$D$21</f>
        <v>183000</v>
      </c>
      <c r="I11" s="2"/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customFormat="false" ht="24" hidden="false" customHeight="true" outlineLevel="0" collapsed="false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customFormat="false" ht="24" hidden="false" customHeight="true" outlineLevel="0" collapsed="false">
      <c r="A13" s="1"/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customFormat="false" ht="24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customFormat="false" ht="29" hidden="false" customHeight="true" outlineLevel="0" collapsed="false">
      <c r="A15" s="1"/>
      <c r="B15" s="1"/>
      <c r="C15" s="6" t="s">
        <v>218</v>
      </c>
      <c r="D15" s="28" t="n">
        <v>0.1</v>
      </c>
      <c r="E15" s="28" t="n">
        <v>0.125</v>
      </c>
      <c r="F15" s="28" t="n">
        <v>0.15</v>
      </c>
      <c r="G15" s="28" t="n">
        <v>0.175</v>
      </c>
      <c r="H15" s="28" t="n">
        <v>0.2</v>
      </c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customFormat="false" ht="24" hidden="false" customHeight="true" outlineLevel="0" collapsed="false">
      <c r="A16" s="1"/>
      <c r="B16" s="1"/>
      <c r="C16" s="19" t="n">
        <v>400</v>
      </c>
      <c r="D16" s="11" t="n">
        <f aca="false">IF(假设!$D$6*D$15-$C16-假设!$D$13&lt;=0,"无法达成",ROUNDUP(单位经济!$D$21/(假设!$D$6*D$15-$C16-假设!$D$13),0))</f>
        <v>38</v>
      </c>
      <c r="E16" s="11" t="n">
        <f aca="false">IF(假设!$D$6*E$15-$C16-假设!$D$13&lt;=0,"无法达成",ROUNDUP(单位经济!$D$21/(假设!$D$6*E$15-$C16-假设!$D$13),0))</f>
        <v>25</v>
      </c>
      <c r="F16" s="11" t="n">
        <f aca="false">IF(假设!$D$6*F$15-$C16-假设!$D$13&lt;=0,"无法达成",ROUNDUP(单位经济!$D$21/(假设!$D$6*F$15-$C16-假设!$D$13),0))</f>
        <v>18</v>
      </c>
      <c r="G16" s="11" t="n">
        <f aca="false">IF(假设!$D$6*G$15-$C16-假设!$D$13&lt;=0,"无法达成",ROUNDUP(单位经济!$D$21/(假设!$D$6*G$15-$C16-假设!$D$13),0))</f>
        <v>15</v>
      </c>
      <c r="H16" s="11" t="n">
        <f aca="false">IF(假设!$D$6*H$15-$C16-假设!$D$13&lt;=0,"无法达成",ROUNDUP(单位经济!$D$21/(假设!$D$6*H$15-$C16-假设!$D$13),0))</f>
        <v>12</v>
      </c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customFormat="false" ht="24" hidden="false" customHeight="true" outlineLevel="0" collapsed="false">
      <c r="A17" s="1"/>
      <c r="B17" s="1"/>
      <c r="C17" s="19" t="n">
        <v>600</v>
      </c>
      <c r="D17" s="11" t="n">
        <f aca="false">IF(假设!$D$6*D$15-$C17-假设!$D$13&lt;=0,"无法达成",ROUNDUP(单位经济!$D$21/(假设!$D$6*D$15-$C17-假设!$D$13),0))</f>
        <v>68</v>
      </c>
      <c r="E17" s="11" t="n">
        <f aca="false">IF(假设!$D$6*E$15-$C17-假设!$D$13&lt;=0,"无法达成",ROUNDUP(单位经济!$D$21/(假设!$D$6*E$15-$C17-假设!$D$13),0))</f>
        <v>34</v>
      </c>
      <c r="F17" s="11" t="n">
        <f aca="false">IF(假设!$D$6*F$15-$C17-假设!$D$13&lt;=0,"无法达成",ROUNDUP(单位经济!$D$21/(假设!$D$6*F$15-$C17-假设!$D$13),0))</f>
        <v>23</v>
      </c>
      <c r="G17" s="11" t="n">
        <f aca="false">IF(假设!$D$6*G$15-$C17-假设!$D$13&lt;=0,"无法达成",ROUNDUP(单位经济!$D$21/(假设!$D$6*G$15-$C17-假设!$D$13),0))</f>
        <v>17</v>
      </c>
      <c r="H17" s="11" t="n">
        <f aca="false">IF(假设!$D$6*H$15-$C17-假设!$D$13&lt;=0,"无法达成",ROUNDUP(单位经济!$D$21/(假设!$D$6*H$15-$C17-假设!$D$13),0))</f>
        <v>14</v>
      </c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customFormat="false" ht="24" hidden="false" customHeight="true" outlineLevel="0" collapsed="false">
      <c r="A18" s="1"/>
      <c r="B18" s="1"/>
      <c r="C18" s="19" t="n">
        <v>800</v>
      </c>
      <c r="D18" s="11" t="n">
        <f aca="false">IF(假设!$D$6*D$15-$C18-假设!$D$13&lt;=0,"无法达成",ROUNDUP(单位经济!$D$21/(假设!$D$6*D$15-$C18-假设!$D$13),0))</f>
        <v>340</v>
      </c>
      <c r="E18" s="11" t="n">
        <f aca="false">IF(假设!$D$6*E$15-$C18-假设!$D$13&lt;=0,"无法达成",ROUNDUP(单位经济!$D$21/(假设!$D$6*E$15-$C18-假设!$D$13),0))</f>
        <v>57</v>
      </c>
      <c r="F18" s="11" t="n">
        <f aca="false">IF(假设!$D$6*F$15-$C18-假设!$D$13&lt;=0,"无法达成",ROUNDUP(单位经济!$D$21/(假设!$D$6*F$15-$C18-假设!$D$13),0))</f>
        <v>31</v>
      </c>
      <c r="G18" s="11" t="n">
        <f aca="false">IF(假设!$D$6*G$15-$C18-假设!$D$13&lt;=0,"无法达成",ROUNDUP(单位经济!$D$21/(假设!$D$6*G$15-$C18-假设!$D$13),0))</f>
        <v>22</v>
      </c>
      <c r="H18" s="11" t="n">
        <f aca="false">IF(假设!$D$6*H$15-$C18-假设!$D$13&lt;=0,"无法达成",ROUNDUP(单位经济!$D$21/(假设!$D$6*H$15-$C18-假设!$D$13),0))</f>
        <v>17</v>
      </c>
      <c r="I18" s="2"/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customFormat="false" ht="24" hidden="false" customHeight="true" outlineLevel="0" collapsed="false">
      <c r="A19" s="1"/>
      <c r="B19" s="1"/>
      <c r="C19" s="19" t="n">
        <v>1000</v>
      </c>
      <c r="D19" s="11" t="str">
        <f aca="false">IF(假设!$D$6*D$15-$C19-假设!$D$13&lt;=0,"无法达成",ROUNDUP(单位经济!$D$21/(假设!$D$6*D$15-$C19-假设!$D$13),0))</f>
        <v>无法达成</v>
      </c>
      <c r="E19" s="11" t="n">
        <f aca="false">IF(假设!$D$6*E$15-$C19-假设!$D$13&lt;=0,"无法达成",ROUNDUP(单位经济!$D$21/(假设!$D$6*E$15-$C19-假设!$D$13),0))</f>
        <v>170</v>
      </c>
      <c r="F19" s="11" t="n">
        <f aca="false">IF(假设!$D$6*F$15-$C19-假设!$D$13&lt;=0,"无法达成",ROUNDUP(单位经济!$D$21/(假设!$D$6*F$15-$C19-假设!$D$13),0))</f>
        <v>49</v>
      </c>
      <c r="G19" s="11" t="n">
        <f aca="false">IF(假设!$D$6*G$15-$C19-假设!$D$13&lt;=0,"无法达成",ROUNDUP(单位经济!$D$21/(假设!$D$6*G$15-$C19-假设!$D$13),0))</f>
        <v>29</v>
      </c>
      <c r="H19" s="11" t="n">
        <f aca="false">IF(假设!$D$6*H$15-$C19-假设!$D$13&lt;=0,"无法达成",ROUNDUP(单位经济!$D$21/(假设!$D$6*H$15-$C19-假设!$D$13),0))</f>
        <v>20</v>
      </c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customFormat="false" ht="24" hidden="false" customHeight="true" outlineLevel="0" collapsed="false">
      <c r="A20" s="1"/>
      <c r="B20" s="1"/>
      <c r="C20" s="19" t="n">
        <v>1500</v>
      </c>
      <c r="D20" s="11" t="str">
        <f aca="false">IF(假设!$D$6*D$15-$C20-假设!$D$13&lt;=0,"无法达成",ROUNDUP(单位经济!$D$21/(假设!$D$6*D$15-$C20-假设!$D$13),0))</f>
        <v>无法达成</v>
      </c>
      <c r="E20" s="11" t="str">
        <f aca="false">IF(假设!$D$6*E$15-$C20-假设!$D$13&lt;=0,"无法达成",ROUNDUP(单位经济!$D$21/(假设!$D$6*E$15-$C20-假设!$D$13),0))</f>
        <v>无法达成</v>
      </c>
      <c r="F20" s="11" t="str">
        <f aca="false">IF(假设!$D$6*F$15-$C20-假设!$D$13&lt;=0,"无法达成",ROUNDUP(单位经济!$D$21/(假设!$D$6*F$15-$C20-假设!$D$13),0))</f>
        <v>无法达成</v>
      </c>
      <c r="G20" s="11" t="n">
        <f aca="false">IF(假设!$D$6*G$15-$C20-假设!$D$13&lt;=0,"无法达成",ROUNDUP(单位经济!$D$21/(假设!$D$6*G$15-$C20-假设!$D$13),0))</f>
        <v>170</v>
      </c>
      <c r="H20" s="11" t="n">
        <f aca="false">IF(假设!$D$6*H$15-$C20-假设!$D$13&lt;=0,"无法达成",ROUNDUP(单位经济!$D$21/(假设!$D$6*H$15-$C20-假设!$D$13),0))</f>
        <v>49</v>
      </c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customFormat="false" ht="24" hidden="false" customHeight="true" outlineLevel="0" collapsed="false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customFormat="false" ht="24" hidden="false" customHeight="true" outlineLevel="0" collapsed="false">
      <c r="A22" s="1"/>
      <c r="B22" s="1"/>
      <c r="C22" s="5" t="s">
        <v>219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customFormat="false" ht="24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customFormat="false" ht="24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customFormat="false" ht="29" hidden="false" customHeight="true" outlineLevel="0" collapsed="false">
      <c r="A25" s="1"/>
      <c r="B25" s="1"/>
      <c r="C25" s="6" t="s">
        <v>220</v>
      </c>
      <c r="D25" s="7" t="n">
        <v>750</v>
      </c>
      <c r="E25" s="7" t="n">
        <v>1500</v>
      </c>
      <c r="F25" s="7" t="n">
        <v>2250</v>
      </c>
      <c r="G25" s="7" t="n">
        <v>3000</v>
      </c>
      <c r="H25" s="2"/>
      <c r="I25" s="2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customFormat="false" ht="24" hidden="false" customHeight="true" outlineLevel="0" collapsed="false">
      <c r="A26" s="1"/>
      <c r="B26" s="1"/>
      <c r="C26" s="19" t="n">
        <v>0</v>
      </c>
      <c r="D26" s="11" t="n">
        <f aca="false">单位经济!$D$22-$C26*D$25</f>
        <v>-2000</v>
      </c>
      <c r="E26" s="11" t="n">
        <f aca="false">单位经济!$D$22-$C26*E$25</f>
        <v>-2000</v>
      </c>
      <c r="F26" s="11" t="n">
        <f aca="false">单位经济!$D$22-$C26*F$25</f>
        <v>-2000</v>
      </c>
      <c r="G26" s="11" t="n">
        <f aca="false">单位经济!$D$22-$C26*G$25</f>
        <v>-2000</v>
      </c>
      <c r="H26" s="2"/>
      <c r="I26" s="2"/>
      <c r="J26" s="2"/>
      <c r="K26" s="2"/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customFormat="false" ht="24" hidden="false" customHeight="true" outlineLevel="0" collapsed="false">
      <c r="A27" s="1"/>
      <c r="B27" s="1"/>
      <c r="C27" s="19" t="n">
        <v>2</v>
      </c>
      <c r="D27" s="11" t="n">
        <f aca="false">单位经济!$D$22-$C27*D$25</f>
        <v>-3500</v>
      </c>
      <c r="E27" s="11" t="n">
        <f aca="false">单位经济!$D$22-$C27*E$25</f>
        <v>-5000</v>
      </c>
      <c r="F27" s="11" t="n">
        <f aca="false">单位经济!$D$22-$C27*F$25</f>
        <v>-6500</v>
      </c>
      <c r="G27" s="11" t="n">
        <f aca="false">单位经济!$D$22-$C27*G$25</f>
        <v>-8000</v>
      </c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customFormat="false" ht="24" hidden="false" customHeight="true" outlineLevel="0" collapsed="false">
      <c r="A28" s="1"/>
      <c r="B28" s="1"/>
      <c r="C28" s="19" t="n">
        <v>5</v>
      </c>
      <c r="D28" s="11" t="n">
        <f aca="false">单位经济!$D$22-$C28*D$25</f>
        <v>-5750</v>
      </c>
      <c r="E28" s="11" t="n">
        <f aca="false">单位经济!$D$22-$C28*E$25</f>
        <v>-9500</v>
      </c>
      <c r="F28" s="11" t="n">
        <f aca="false">单位经济!$D$22-$C28*F$25</f>
        <v>-13250</v>
      </c>
      <c r="G28" s="11" t="n">
        <f aca="false">单位经济!$D$22-$C28*G$25</f>
        <v>-17000</v>
      </c>
      <c r="H28" s="2"/>
      <c r="I28" s="2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customFormat="false" ht="24" hidden="false" customHeight="true" outlineLevel="0" collapsed="false">
      <c r="A29" s="1"/>
      <c r="B29" s="1"/>
      <c r="C29" s="19" t="n">
        <v>10</v>
      </c>
      <c r="D29" s="11" t="n">
        <f aca="false">单位经济!$D$22-$C29*D$25</f>
        <v>-9500</v>
      </c>
      <c r="E29" s="11" t="n">
        <f aca="false">单位经济!$D$22-$C29*E$25</f>
        <v>-17000</v>
      </c>
      <c r="F29" s="11" t="n">
        <f aca="false">单位经济!$D$22-$C29*F$25</f>
        <v>-24500</v>
      </c>
      <c r="G29" s="11" t="n">
        <f aca="false">单位经济!$D$22-$C29*G$25</f>
        <v>-32000</v>
      </c>
      <c r="H29" s="2"/>
      <c r="I29" s="2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customFormat="false" ht="24" hidden="false" customHeight="true" outlineLevel="0" collapsed="false">
      <c r="A30" s="1"/>
      <c r="B30" s="1"/>
      <c r="C30" s="19" t="n">
        <v>20</v>
      </c>
      <c r="D30" s="11" t="n">
        <f aca="false">单位经济!$D$22-$C30*D$25</f>
        <v>-17000</v>
      </c>
      <c r="E30" s="11" t="n">
        <f aca="false">单位经济!$D$22-$C30*E$25</f>
        <v>-32000</v>
      </c>
      <c r="F30" s="11" t="n">
        <f aca="false">单位经济!$D$22-$C30*F$25</f>
        <v>-47000</v>
      </c>
      <c r="G30" s="11" t="n">
        <f aca="false">单位经济!$D$22-$C30*G$25</f>
        <v>-62000</v>
      </c>
      <c r="H30" s="2"/>
      <c r="I30" s="2"/>
      <c r="J30" s="2"/>
      <c r="K30" s="2"/>
      <c r="L30" s="2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customFormat="false" ht="24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customFormat="false" ht="24" hidden="false" customHeight="true" outlineLevel="0" collapsed="false">
      <c r="A32" s="1"/>
      <c r="B32" s="1"/>
      <c r="C32" s="5" t="s">
        <v>221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customFormat="false" ht="24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customFormat="false" ht="24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customFormat="false" ht="29" hidden="false" customHeight="true" outlineLevel="0" collapsed="false">
      <c r="A35" s="1"/>
      <c r="B35" s="1"/>
      <c r="C35" s="6" t="s">
        <v>222</v>
      </c>
      <c r="D35" s="7" t="s">
        <v>223</v>
      </c>
      <c r="E35" s="7" t="s">
        <v>224</v>
      </c>
      <c r="F35" s="29" t="s">
        <v>225</v>
      </c>
      <c r="G35" s="29" t="s">
        <v>226</v>
      </c>
      <c r="H35" s="2"/>
      <c r="I35" s="2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customFormat="false" ht="24" hidden="false" customHeight="true" outlineLevel="0" collapsed="false">
      <c r="A36" s="1"/>
      <c r="B36" s="1"/>
      <c r="C36" s="15" t="n">
        <v>0</v>
      </c>
      <c r="D36" s="11" t="n">
        <f aca="false">单位经济!$D$7*C36+假设!$D$51</f>
        <v>0</v>
      </c>
      <c r="E36" s="11" t="n">
        <f aca="false">单位经济!$D$13+假设!$D$11-D36</f>
        <v>900</v>
      </c>
      <c r="F36" s="20" t="n">
        <f aca="false">(单位经济!$D$18+(假设!$D$11-D36)*假设!$D$24)/单位经济!$D$16</f>
        <v>0.633333333333333</v>
      </c>
      <c r="G36" s="11" t="n">
        <f aca="false">单位经济!$D$22+(假设!$D$11-D36)*假设!$D$24</f>
        <v>1000</v>
      </c>
      <c r="H36" s="2"/>
      <c r="I36" s="2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customFormat="false" ht="24" hidden="false" customHeight="true" outlineLevel="0" collapsed="false">
      <c r="A37" s="1"/>
      <c r="B37" s="1"/>
      <c r="C37" s="15" t="n">
        <v>0.02</v>
      </c>
      <c r="D37" s="11" t="n">
        <f aca="false">单位经济!$D$7*C37+假设!$D$51</f>
        <v>230</v>
      </c>
      <c r="E37" s="11" t="n">
        <f aca="false">单位经济!$D$13+假设!$D$11-D37</f>
        <v>670</v>
      </c>
      <c r="F37" s="20" t="n">
        <f aca="false">(单位经济!$D$18+(假设!$D$11-D37)*假设!$D$24)/单位经济!$D$16</f>
        <v>0.48</v>
      </c>
      <c r="G37" s="11" t="n">
        <f aca="false">单位经济!$D$22+(假设!$D$11-D37)*假设!$D$24</f>
        <v>-3600</v>
      </c>
      <c r="H37" s="2"/>
      <c r="I37" s="2"/>
      <c r="J37" s="2"/>
      <c r="K37" s="2"/>
      <c r="L37" s="2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customFormat="false" ht="24" hidden="false" customHeight="true" outlineLevel="0" collapsed="false">
      <c r="A38" s="1"/>
      <c r="B38" s="1"/>
      <c r="C38" s="15" t="n">
        <v>0.03</v>
      </c>
      <c r="D38" s="11" t="n">
        <f aca="false">单位经济!$D$7*C38+假设!$D$51</f>
        <v>345</v>
      </c>
      <c r="E38" s="11" t="n">
        <f aca="false">单位经济!$D$13+假设!$D$11-D38</f>
        <v>555</v>
      </c>
      <c r="F38" s="20" t="n">
        <f aca="false">(单位经济!$D$18+(假设!$D$11-D38)*假设!$D$24)/单位经济!$D$16</f>
        <v>0.403333333333333</v>
      </c>
      <c r="G38" s="11" t="n">
        <f aca="false">单位经济!$D$22+(假设!$D$11-D38)*假设!$D$24</f>
        <v>-5900</v>
      </c>
      <c r="H38" s="2"/>
      <c r="I38" s="2"/>
      <c r="J38" s="2"/>
      <c r="K38" s="2"/>
      <c r="L38" s="2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customFormat="false" ht="24" hidden="false" customHeight="true" outlineLevel="0" collapsed="false">
      <c r="A39" s="1"/>
      <c r="B39" s="1"/>
      <c r="C39" s="15" t="n">
        <v>0.04</v>
      </c>
      <c r="D39" s="11" t="n">
        <f aca="false">单位经济!$D$7*C39+假设!$D$51</f>
        <v>460</v>
      </c>
      <c r="E39" s="11" t="n">
        <f aca="false">单位经济!$D$13+假设!$D$11-D39</f>
        <v>440</v>
      </c>
      <c r="F39" s="20" t="n">
        <f aca="false">(单位经济!$D$18+(假设!$D$11-D39)*假设!$D$24)/单位经济!$D$16</f>
        <v>0.326666666666667</v>
      </c>
      <c r="G39" s="11" t="n">
        <f aca="false">单位经济!$D$22+(假设!$D$11-D39)*假设!$D$24</f>
        <v>-8200</v>
      </c>
      <c r="H39" s="2"/>
      <c r="I39" s="2"/>
      <c r="J39" s="2"/>
      <c r="K39" s="2"/>
      <c r="L39" s="2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customFormat="false" ht="24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customFormat="false" ht="24" hidden="false" customHeight="true" outlineLevel="0" collapsed="false">
      <c r="A41" s="1"/>
      <c r="B41" s="1"/>
      <c r="C41" s="21" t="s">
        <v>227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customFormat="false" ht="24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customFormat="false" ht="24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customFormat="false" ht="29" hidden="false" customHeight="true" outlineLevel="0" collapsed="false">
      <c r="A44" s="1"/>
      <c r="B44" s="1"/>
      <c r="C44" s="6" t="s">
        <v>228</v>
      </c>
      <c r="D44" s="7" t="s">
        <v>3</v>
      </c>
      <c r="E44" s="7" t="s">
        <v>4</v>
      </c>
      <c r="F44" s="7" t="s">
        <v>5</v>
      </c>
      <c r="G44" s="2"/>
      <c r="H44" s="2"/>
      <c r="I44" s="2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customFormat="false" ht="24" hidden="false" customHeight="true" outlineLevel="0" collapsed="false">
      <c r="A45" s="1"/>
      <c r="B45" s="1"/>
      <c r="C45" s="8" t="s">
        <v>6</v>
      </c>
      <c r="D45" s="11" t="str">
        <f aca="false">IF(MIN(保守现金流!D42:AM42)=999,"36个月内未回本",MIN(保守现金流!D42:AM42))</f>
        <v>36个月内未回本</v>
      </c>
      <c r="E45" s="11" t="n">
        <f aca="false">IF(MIN(基准现金流!D42:AM42)=999,"36个月内未回本",MIN(基准现金流!D42:AM42))</f>
        <v>31</v>
      </c>
      <c r="F45" s="11" t="n">
        <f aca="false">IF(MIN(扩张现金流!D42:AM42)=999,"36个月内未回本",MIN(扩张现金流!D42:AM42))</f>
        <v>21</v>
      </c>
      <c r="G45" s="2"/>
      <c r="H45" s="2"/>
      <c r="I45" s="2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customFormat="false" ht="24" hidden="false" customHeight="true" outlineLevel="0" collapsed="false">
      <c r="A46" s="1"/>
      <c r="B46" s="1"/>
      <c r="C46" s="8" t="s">
        <v>229</v>
      </c>
      <c r="D46" s="12" t="n">
        <f aca="false">MAX(0,-MIN(保守现金流!D41:AM41))</f>
        <v>469245</v>
      </c>
      <c r="E46" s="12" t="n">
        <f aca="false">MAX(0,-MIN(基准现金流!D41:AM41))</f>
        <v>352320</v>
      </c>
      <c r="F46" s="12" t="n">
        <f aca="false">MAX(0,-MIN(扩张现金流!D41:AM41))</f>
        <v>322720</v>
      </c>
      <c r="G46" s="1"/>
      <c r="H46" s="1"/>
      <c r="I46" s="1"/>
      <c r="J46" s="1"/>
      <c r="K46" s="1"/>
      <c r="L46" s="1"/>
      <c r="M46" s="1"/>
    </row>
    <row r="47" customFormat="false" ht="24" hidden="false" customHeight="true" outlineLevel="0" collapsed="false">
      <c r="A47" s="1"/>
      <c r="B47" s="1"/>
      <c r="C47" s="1" t="s">
        <v>9</v>
      </c>
      <c r="D47" s="12" t="n">
        <f aca="false">保守现金流!AM41</f>
        <v>-469245</v>
      </c>
      <c r="E47" s="12" t="n">
        <f aca="false">基准现金流!AM41</f>
        <v>187680</v>
      </c>
      <c r="F47" s="12" t="n">
        <f aca="false">扩张现金流!AM41</f>
        <v>1367085</v>
      </c>
      <c r="G47" s="1"/>
      <c r="H47" s="1"/>
      <c r="I47" s="1"/>
      <c r="J47" s="1"/>
      <c r="K47" s="1"/>
      <c r="L47" s="1"/>
      <c r="M47" s="1"/>
    </row>
    <row r="48" customFormat="false" ht="24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24" hidden="false" customHeight="true" outlineLevel="0" collapsed="false">
      <c r="A49" s="1"/>
      <c r="B49" s="1"/>
      <c r="C49" s="5" t="s">
        <v>230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24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24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24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24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24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24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24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24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24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24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24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24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24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24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24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24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en-MY</dc:language>
  <cp:lastModifiedBy/>
  <cp:revision>0</cp:revision>
  <dc:subject/>
  <dc:title/>
</cp:coreProperties>
</file>